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Описание" sheetId="1" state="visible" r:id="rId3"/>
    <sheet name="Matthews2022_Fig1F" sheetId="2" state="visible" r:id="rId4"/>
    <sheet name="Clements1992_Fig1D_DAA" sheetId="3" state="visible" r:id="rId5"/>
    <sheet name="Clements1992_Fig1D_DCPP" sheetId="4" state="visible" r:id="rId6"/>
    <sheet name="Clements1992_Fig3C" sheetId="5" state="visible" r:id="rId7"/>
    <sheet name="Результаты подгонки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<sst xmlns="http://schemas.openxmlformats.org/spreadsheetml/2006/main" count="122" uniqueCount="99">
  <si>
    <t xml:space="preserve">Экспериментальные точки для подгонки модели диффузии глутамата</t>
  </si>
  <si>
    <t xml:space="preserve">Источник данных для кода: data/experimental_points.json. Эта таблица - копия для чтения. Оцифровка 09-10.10.2026.</t>
  </si>
  <si>
    <t xml:space="preserve">Лист</t>
  </si>
  <si>
    <t xml:space="preserve">Тип данных</t>
  </si>
  <si>
    <t xml:space="preserve">Источник</t>
  </si>
  <si>
    <t xml:space="preserve">Рисунок, файл</t>
  </si>
  <si>
    <t xml:space="preserve">Что измерено</t>
  </si>
  <si>
    <t xml:space="preserve">Препарат и условия</t>
  </si>
  <si>
    <t xml:space="preserve">n</t>
  </si>
  <si>
    <t xml:space="preserve">Результат авторов</t>
  </si>
  <si>
    <t xml:space="preserve">Как задана погрешность σ</t>
  </si>
  <si>
    <t xml:space="preserve">Оцифровка</t>
  </si>
  <si>
    <t xml:space="preserve">В подгонке</t>
  </si>
  <si>
    <t xml:space="preserve">Matthews2022_Fig1F</t>
  </si>
  <si>
    <t xml:space="preserve">измерение</t>
  </si>
  <si>
    <t xml:space="preserve">Matthews E.A. et al. Optical analysis of glutamate spread in the neuropil. Cerebral Cortex 2022, 32:3669-3689. DOI 10.1093/cercor/bhab440</t>
  </si>
  <si>
    <t xml:space="preserve">Fig. 1F, с. 3673; refs/bhab440.pdf</t>
  </si>
  <si>
    <t xml:space="preserve">Пиковая амплитуда сигнала датчика глутамата iGluSnFr (ΔF/F), нормированная на значение у бутона, в зависимости от расстояния до бутона</t>
  </si>
  <si>
    <t xml:space="preserve">Острые срезы гиппокампа мыши, хилус, малые en-passant бутоны мшистых волокон (диаметр 0,86 ± 0,14 мкм), одиночный потенциал действия; CNQX 10 мкМ, 4-AP 100 мкМ, DPCPX 1 мкМ</t>
  </si>
  <si>
    <t xml:space="preserve">6 бутонов</t>
  </si>
  <si>
    <t xml:space="preserve">λ = 1150 ± 54 нм (подпись на рисунке), 1,2 ± 0,05 мкм (текст)</t>
  </si>
  <si>
    <t xml:space="preserve">σ = 0,031 для всех точек: планки SEM на рисунке скрыты маркером (радиус маркера 0,031 в единицах оси), значит SEM не больше этого; погрешность оцифровки 0,003</t>
  </si>
  <si>
    <t xml:space="preserve">Растр 400 dpi; калибровка по делениям оси Y (0; 0,25; 0,5; 0,75; 1) и точкам x = 0 и 6 мкм; центры маркеров найдены автоматически</t>
  </si>
  <si>
    <t xml:space="preserve">да, подгонка A (параметр Vmax_pm)</t>
  </si>
  <si>
    <t xml:space="preserve">Clements1992_Fig1D_DAA</t>
  </si>
  <si>
    <t xml:space="preserve">Clements J.D., Lester R.A.J., Tong G., Jahr C.E., Westbrook G.L. The time course of glutamate in the synaptic cleft. Science 1992, 258:1498-1501</t>
  </si>
  <si>
    <t xml:space="preserve">Fig. 1D, с. 1499, закрашенные кружки; refs/Clements1992.pdf</t>
  </si>
  <si>
    <t xml:space="preserve">Амплитуда NMDA-EPSC (нормированная на контроль) в присутствии быстро диссоциирующего антагониста D-AA</t>
  </si>
  <si>
    <t xml:space="preserve">Культура нейронов гиппокампа, пары клеток, NMDA-EPSC</t>
  </si>
  <si>
    <t xml:space="preserve">в подписи не указано для каждой точки</t>
  </si>
  <si>
    <t xml:space="preserve">Подавление слабее равновесного прогноза; отсюда авторы через кинетическую модель получили импульс 1,1 мМ, τ = 1,2 мс</t>
  </si>
  <si>
    <t xml:space="preserve">Где планка SEM видна - её полудлина; где скрыта маркером - 0,021 (радиус маркера). Ось X логарифмическая, 1 пиксель ≈ 2% концентрации</t>
  </si>
  <si>
    <t xml:space="preserve">Исходное изображение страницы (5056×6566); калибровка по декадам оси X и делениям 0-1 оси Y. Проверка: D-AA 100 мкМ даёт 0,245, в тексте подавление 78 ± 1% (0,22)</t>
  </si>
  <si>
    <t xml:space="preserve">нет: Для сравнения с моделью нужна кинетическая схема NMDA-рецептора с конкурентным антагонистом (Clements 1992, Fig. 3A); в текущую подгонку не входит</t>
  </si>
  <si>
    <t xml:space="preserve">Clements1992_Fig1D_DCPP</t>
  </si>
  <si>
    <t xml:space="preserve">Clements et al. 1992, Science 258:1498-1501</t>
  </si>
  <si>
    <t xml:space="preserve">Fig. 1D, с. 1499, открытые кружки; refs/Clements1992.pdf</t>
  </si>
  <si>
    <t xml:space="preserve">Амплитуда NMDA-EPSC в присутствии медленного антагониста D-CPP (контроль: равновесное подавление)</t>
  </si>
  <si>
    <t xml:space="preserve">Культура нейронов гиппокампа</t>
  </si>
  <si>
    <t xml:space="preserve">в подписи не указано</t>
  </si>
  <si>
    <t xml:space="preserve">Совпадает с равновесным прогнозом; D-CPP 1 мкМ подавляет на 88 ± 0,5% (оцифровка: 0,116)</t>
  </si>
  <si>
    <t xml:space="preserve">как для D-AA</t>
  </si>
  <si>
    <t xml:space="preserve">нет: Контрольный набор, в текущую подгонку не входит</t>
  </si>
  <si>
    <t xml:space="preserve">Clements1992_Fig3C</t>
  </si>
  <si>
    <t xml:space="preserve">уравнение, подогнанное авторами к измерениям (Fig. 1D)</t>
  </si>
  <si>
    <t xml:space="preserve">Fig. 3C, с. 1500, толстая линия; refs/Clements1992.pdf</t>
  </si>
  <si>
    <t xml:space="preserve">Оценка концентрации глутамата в щели C(t) после одного выброса: экспонента, подогнанная авторами через кинетическую модель NMDA-рецептора к данным D-AA</t>
  </si>
  <si>
    <t xml:space="preserve">-</t>
  </si>
  <si>
    <t xml:space="preserve">В тексте: пик 1,1 мМ, τ = 1,2 мс, доверительный диапазон пика 1,0-1,5 мМ, τ 0,7-2,0 мс. На рисунке: τ ≈ 1,4-1,7 мс; Diamond &amp; Jahr 1997 (J Neurosci 17:4672): на данных с кинуреновой кислотой этот импульс даёт χ² = 0,520; двухфазный 3,2 мМ/0,1 мс + 0,525 мМ/1,0 мс даёт 0,145</t>
  </si>
  <si>
    <t xml:space="preserve">σ = 0,1·y + 0,005 мМ - допущение: отражает разброс τ и пика в доверительном диапазоне авторов; погрешность оцифровки 0,003 мМ</t>
  </si>
  <si>
    <t xml:space="preserve">Калибровка по масштабным линейкам 20 мс и 0,2 мМ; ось времени проверена по тонкой кривой (нарастание 10-90% = 7,8 мс, в тексте 7,9)</t>
  </si>
  <si>
    <t xml:space="preserve">да, подгонка B (параметр D_cleft)</t>
  </si>
  <si>
    <t xml:space="preserve">Matthews E - Fig. 1F, с. 3673</t>
  </si>
  <si>
    <t xml:space="preserve">Тип: измерение</t>
  </si>
  <si>
    <t xml:space="preserve">расстояние, мкм</t>
  </si>
  <si>
    <t xml:space="preserve">нормированный ΔF/F</t>
  </si>
  <si>
    <t xml:space="preserve">σ</t>
  </si>
  <si>
    <t xml:space="preserve">модель (лучшая подгонка)</t>
  </si>
  <si>
    <t xml:space="preserve">(модель - данные)/σ</t>
  </si>
  <si>
    <t xml:space="preserve">вклад в χ²</t>
  </si>
  <si>
    <t xml:space="preserve">χ² =</t>
  </si>
  <si>
    <t xml:space="preserve">Модель: PSF 0,5×2,5 мкм (допущение), Vmax_pm = 1e-06 мкМ/мкс, D_pm = 320 нм²/мкс</t>
  </si>
  <si>
    <t xml:space="preserve">Синий шрифт - оцифрованные данные; столбец «модель» - результат scenarios/fit_to_data.py (fit_outputs/fit_report.json)</t>
  </si>
  <si>
    <t xml:space="preserve">Clements J - Fig. 1D, с. 1499, закрашенные кружки</t>
  </si>
  <si>
    <t xml:space="preserve">концентрация D-AA, мкМ</t>
  </si>
  <si>
    <t xml:space="preserve">нормированный EPSC</t>
  </si>
  <si>
    <t xml:space="preserve">Clements et al - Fig. 1D, с. 1499, открытые кружки</t>
  </si>
  <si>
    <t xml:space="preserve">концентрация D-CPP, мкМ</t>
  </si>
  <si>
    <t xml:space="preserve">Clements et al - Fig. 3C, с. 1500, толстая линия</t>
  </si>
  <si>
    <t xml:space="preserve">Тип: уравнение, подогнанное авторами к измерениям (Fig. 1D)</t>
  </si>
  <si>
    <t xml:space="preserve">время, мс</t>
  </si>
  <si>
    <t xml:space="preserve">концентрация, мМ</t>
  </si>
  <si>
    <t xml:space="preserve">Модель: D_cleft = 3.99 нм²/мкс, D_pm = 320 нм²/мкс, сферическая геометрия, a = 200 нм</t>
  </si>
  <si>
    <t xml:space="preserve">Результаты МНК-подгонки (scenarios/fit_to_data.py, 10.10.2026)</t>
  </si>
  <si>
    <t xml:space="preserve">Подгонка</t>
  </si>
  <si>
    <t xml:space="preserve">Данные</t>
  </si>
  <si>
    <t xml:space="preserve">Свободный параметр</t>
  </si>
  <si>
    <t xml:space="preserve">Лучшее значение</t>
  </si>
  <si>
    <t xml:space="preserve">Интервал 1σ (Δχ² = 1)</t>
  </si>
  <si>
    <t xml:space="preserve">χ²</t>
  </si>
  <si>
    <t xml:space="preserve">Степеней свободы</t>
  </si>
  <si>
    <t xml:space="preserve">χ²/ст. своб.</t>
  </si>
  <si>
    <t xml:space="preserve">Сравнение</t>
  </si>
  <si>
    <t xml:space="preserve">Допущения</t>
  </si>
  <si>
    <t xml:space="preserve">A, PSF 0.35×1.5 мкм</t>
  </si>
  <si>
    <t xml:space="preserve">Matthews 2022 Fig. 1F (измерение)</t>
  </si>
  <si>
    <t xml:space="preserve">Vmax_pm, мкМ/мкс</t>
  </si>
  <si>
    <t xml:space="preserve">не больше 1e-05 (минимум на нижней границе поиска)</t>
  </si>
  <si>
    <t xml:space="preserve">при Vmax_pm из config (0,01): χ² = 259</t>
  </si>
  <si>
    <t xml:space="preserve">D_pm = 320 нм²/мкс (Zheng 2008), датчик Kd 4,9 мкМ, 1/koff 60 мс, 3000 молекул, PSF - допущение</t>
  </si>
  <si>
    <t xml:space="preserve">A, PSF 0.5×2.5 мкм</t>
  </si>
  <si>
    <t xml:space="preserve">не больше 3e-05 (минимум на нижней границе поиска)</t>
  </si>
  <si>
    <t xml:space="preserve">при Vmax_pm из config (0,01): χ² = 159</t>
  </si>
  <si>
    <t xml:space="preserve">B</t>
  </si>
  <si>
    <t xml:space="preserve">Clements 1992 Fig. 3C (уравнение, подогнанное к измерениям)</t>
  </si>
  <si>
    <t xml:space="preserve">D_cleft, нм²/мкс</t>
  </si>
  <si>
    <t xml:space="preserve">3.94 - 4.08</t>
  </si>
  <si>
    <t xml:space="preserve">при измеренном D_cleft = 330: χ² = 573</t>
  </si>
  <si>
    <t xml:space="preserve">сферическая щель r &lt; 200 нм, D_pm = 320, Vmax_pm 0,01; σ = 0,1·y + 0,005 мМ - допущение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</si>
</sst>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.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DE7F3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7F3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24"/>
    <col collapsed="false" customWidth="true" hidden="false" outlineLevel="0" max="5" min="5" style="0" width="40"/>
    <col collapsed="false" customWidth="true" hidden="false" outlineLevel="0" max="6" min="6" style="0" width="36"/>
    <col collapsed="false" customWidth="true" hidden="false" outlineLevel="0" max="7" min="7" style="0" width="10"/>
    <col collapsed="false" customWidth="true" hidden="false" outlineLevel="0" max="10" min="8" style="0" width="40"/>
    <col collapsed="false" customWidth="true" hidden="false" outlineLevel="0" max="11" min="11" style="0" width="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</row>
    <row r="5" customFormat="false" ht="57.45" hidden="false" customHeight="false" outlineLevel="0" collapsed="false">
      <c r="A5" s="4" t="s">
        <v>13</v>
      </c>
      <c r="B5" s="4" t="s">
        <v>14</v>
      </c>
      <c r="C5" s="4" t="s">
        <v>15</v>
      </c>
      <c r="D5" s="4" t="s">
        <v>16</v>
      </c>
      <c r="E5" s="4" t="s">
        <v>17</v>
      </c>
      <c r="F5" s="4" t="s">
        <v>18</v>
      </c>
      <c r="G5" s="4" t="s">
        <v>19</v>
      </c>
      <c r="H5" s="4" t="s">
        <v>20</v>
      </c>
      <c r="I5" s="4" t="s">
        <v>21</v>
      </c>
      <c r="J5" s="4" t="s">
        <v>22</v>
      </c>
      <c r="K5" s="4" t="s">
        <v>23</v>
      </c>
    </row>
    <row r="6" customFormat="false" ht="57.45" hidden="false" customHeight="false" outlineLevel="0" collapsed="false">
      <c r="A6" s="4" t="s">
        <v>24</v>
      </c>
      <c r="B6" s="4" t="s">
        <v>14</v>
      </c>
      <c r="C6" s="4" t="s">
        <v>25</v>
      </c>
      <c r="D6" s="4" t="s">
        <v>26</v>
      </c>
      <c r="E6" s="4" t="s">
        <v>27</v>
      </c>
      <c r="F6" s="4" t="s">
        <v>28</v>
      </c>
      <c r="G6" s="4" t="s">
        <v>29</v>
      </c>
      <c r="H6" s="4" t="s">
        <v>30</v>
      </c>
      <c r="I6" s="4" t="s">
        <v>31</v>
      </c>
      <c r="J6" s="4" t="s">
        <v>32</v>
      </c>
      <c r="K6" s="4" t="s">
        <v>33</v>
      </c>
    </row>
    <row r="7" customFormat="false" ht="35.05" hidden="false" customHeight="false" outlineLevel="0" collapsed="false">
      <c r="A7" s="4" t="s">
        <v>34</v>
      </c>
      <c r="B7" s="4" t="s">
        <v>14</v>
      </c>
      <c r="C7" s="4" t="s">
        <v>35</v>
      </c>
      <c r="D7" s="4" t="s">
        <v>36</v>
      </c>
      <c r="E7" s="4" t="s">
        <v>37</v>
      </c>
      <c r="F7" s="4" t="s">
        <v>38</v>
      </c>
      <c r="G7" s="4" t="s">
        <v>39</v>
      </c>
      <c r="H7" s="4" t="s">
        <v>40</v>
      </c>
      <c r="I7" s="4" t="s">
        <v>41</v>
      </c>
      <c r="J7" s="4" t="s">
        <v>41</v>
      </c>
      <c r="K7" s="4" t="s">
        <v>42</v>
      </c>
    </row>
    <row r="8" customFormat="false" ht="79.85" hidden="false" customHeight="false" outlineLevel="0" collapsed="false">
      <c r="A8" s="4" t="s">
        <v>43</v>
      </c>
      <c r="B8" s="4" t="s">
        <v>44</v>
      </c>
      <c r="C8" s="4" t="s">
        <v>35</v>
      </c>
      <c r="D8" s="4" t="s">
        <v>45</v>
      </c>
      <c r="E8" s="4" t="s">
        <v>46</v>
      </c>
      <c r="F8" s="4" t="s">
        <v>38</v>
      </c>
      <c r="G8" s="4" t="s">
        <v>47</v>
      </c>
      <c r="H8" s="4" t="s">
        <v>48</v>
      </c>
      <c r="I8" s="4" t="s">
        <v>49</v>
      </c>
      <c r="J8" s="4" t="s">
        <v>50</v>
      </c>
      <c r="K8" s="4" t="s">
        <v>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17</v>
      </c>
    </row>
    <row r="3" customFormat="false" ht="15" hidden="false" customHeight="false" outlineLevel="0" collapsed="false">
      <c r="A3" s="5" t="s">
        <v>53</v>
      </c>
    </row>
    <row r="5" customFormat="false" ht="23.85" hidden="false" customHeight="false" outlineLevel="0" collapsed="false">
      <c r="A5" s="3" t="s">
        <v>54</v>
      </c>
      <c r="B5" s="3" t="s">
        <v>55</v>
      </c>
      <c r="C5" s="3" t="s">
        <v>56</v>
      </c>
      <c r="D5" s="3" t="s">
        <v>57</v>
      </c>
      <c r="E5" s="3" t="s">
        <v>58</v>
      </c>
      <c r="F5" s="3" t="s">
        <v>59</v>
      </c>
    </row>
    <row r="6" customFormat="false" ht="15" hidden="false" customHeight="false" outlineLevel="0" collapsed="false">
      <c r="A6" s="6" t="n">
        <v>0</v>
      </c>
      <c r="B6" s="6" t="n">
        <v>1</v>
      </c>
      <c r="C6" s="6" t="n">
        <v>0.031</v>
      </c>
      <c r="D6" s="7" t="n">
        <v>1</v>
      </c>
      <c r="E6" s="8" t="n">
        <f aca="false">(D6-B6)/C6</f>
        <v>0</v>
      </c>
      <c r="F6" s="8" t="n">
        <f aca="false">E6^2</f>
        <v>0</v>
      </c>
    </row>
    <row r="7" customFormat="false" ht="15" hidden="false" customHeight="false" outlineLevel="0" collapsed="false">
      <c r="A7" s="6" t="n">
        <v>0.49</v>
      </c>
      <c r="B7" s="6" t="n">
        <v>0.666</v>
      </c>
      <c r="C7" s="6" t="n">
        <v>0.031</v>
      </c>
      <c r="D7" s="7" t="n">
        <v>0.63983</v>
      </c>
      <c r="E7" s="8" t="n">
        <f aca="false">(D7-B7)/C7</f>
        <v>-0.844193548387098</v>
      </c>
      <c r="F7" s="8" t="n">
        <f aca="false">E7^2</f>
        <v>0.712662747138399</v>
      </c>
    </row>
    <row r="8" customFormat="false" ht="15" hidden="false" customHeight="false" outlineLevel="0" collapsed="false">
      <c r="A8" s="6" t="n">
        <v>1</v>
      </c>
      <c r="B8" s="6" t="n">
        <v>0.406</v>
      </c>
      <c r="C8" s="6" t="n">
        <v>0.031</v>
      </c>
      <c r="D8" s="7" t="n">
        <v>0.35636</v>
      </c>
      <c r="E8" s="8" t="n">
        <f aca="false">(D8-B8)/C8</f>
        <v>-1.60129032258065</v>
      </c>
      <c r="F8" s="8" t="n">
        <f aca="false">E8^2</f>
        <v>2.56413069719043</v>
      </c>
    </row>
    <row r="9" customFormat="false" ht="15" hidden="false" customHeight="false" outlineLevel="0" collapsed="false">
      <c r="A9" s="6" t="n">
        <v>1.5</v>
      </c>
      <c r="B9" s="6" t="n">
        <v>0.28</v>
      </c>
      <c r="C9" s="6" t="n">
        <v>0.031</v>
      </c>
      <c r="D9" s="7" t="n">
        <v>0.23101</v>
      </c>
      <c r="E9" s="8" t="n">
        <f aca="false">(D9-B9)/C9</f>
        <v>-1.58032258064516</v>
      </c>
      <c r="F9" s="8" t="n">
        <f aca="false">E9^2</f>
        <v>2.49741945889699</v>
      </c>
    </row>
    <row r="10" customFormat="false" ht="15" hidden="false" customHeight="false" outlineLevel="0" collapsed="false">
      <c r="A10" s="6" t="n">
        <v>2</v>
      </c>
      <c r="B10" s="6" t="n">
        <v>0.185</v>
      </c>
      <c r="C10" s="6" t="n">
        <v>0.031</v>
      </c>
      <c r="D10" s="7" t="n">
        <v>0.16183</v>
      </c>
      <c r="E10" s="8" t="n">
        <f aca="false">(D10-B10)/C10</f>
        <v>-0.74741935483871</v>
      </c>
      <c r="F10" s="8" t="n">
        <f aca="false">E10^2</f>
        <v>0.558635691987513</v>
      </c>
    </row>
    <row r="11" customFormat="false" ht="15" hidden="false" customHeight="false" outlineLevel="0" collapsed="false">
      <c r="A11" s="6" t="n">
        <v>2.5</v>
      </c>
      <c r="B11" s="6" t="n">
        <v>0.105</v>
      </c>
      <c r="C11" s="6" t="n">
        <v>0.031</v>
      </c>
      <c r="D11" s="7" t="n">
        <v>0.11905</v>
      </c>
      <c r="E11" s="8" t="n">
        <f aca="false">(D11-B11)/C11</f>
        <v>0.453225806451613</v>
      </c>
      <c r="F11" s="8" t="n">
        <f aca="false">E11^2</f>
        <v>0.205413631633715</v>
      </c>
    </row>
    <row r="12" customFormat="false" ht="15" hidden="false" customHeight="false" outlineLevel="0" collapsed="false">
      <c r="A12" s="6" t="n">
        <v>3</v>
      </c>
      <c r="B12" s="6" t="n">
        <v>0.071</v>
      </c>
      <c r="C12" s="6" t="n">
        <v>0.031</v>
      </c>
      <c r="D12" s="7" t="n">
        <v>0.09002</v>
      </c>
      <c r="E12" s="8" t="n">
        <f aca="false">(D12-B12)/C12</f>
        <v>0.613548387096775</v>
      </c>
      <c r="F12" s="8" t="n">
        <f aca="false">E12^2</f>
        <v>0.376441623309053</v>
      </c>
    </row>
    <row r="13" customFormat="false" ht="15" hidden="false" customHeight="false" outlineLevel="0" collapsed="false">
      <c r="A13" s="6" t="n">
        <v>3.5</v>
      </c>
      <c r="B13" s="6" t="n">
        <v>0.048</v>
      </c>
      <c r="C13" s="6" t="n">
        <v>0.031</v>
      </c>
      <c r="D13" s="7" t="n">
        <v>0.0688</v>
      </c>
      <c r="E13" s="8" t="n">
        <f aca="false">(D13-B13)/C13</f>
        <v>0.670967741935484</v>
      </c>
      <c r="F13" s="8" t="n">
        <f aca="false">E13^2</f>
        <v>0.450197710718002</v>
      </c>
    </row>
    <row r="14" customFormat="false" ht="15" hidden="false" customHeight="false" outlineLevel="0" collapsed="false">
      <c r="A14" s="6" t="n">
        <v>4</v>
      </c>
      <c r="B14" s="6" t="n">
        <v>0.048</v>
      </c>
      <c r="C14" s="6" t="n">
        <v>0.031</v>
      </c>
      <c r="D14" s="7" t="n">
        <v>0.0528</v>
      </c>
      <c r="E14" s="8" t="n">
        <f aca="false">(D14-B14)/C14</f>
        <v>0.154838709677419</v>
      </c>
      <c r="F14" s="8" t="n">
        <f aca="false">E14^2</f>
        <v>0.0239750260145681</v>
      </c>
    </row>
    <row r="15" customFormat="false" ht="15" hidden="false" customHeight="false" outlineLevel="0" collapsed="false">
      <c r="A15" s="6" t="n">
        <v>4.5</v>
      </c>
      <c r="B15" s="6" t="n">
        <v>0.044</v>
      </c>
      <c r="C15" s="6" t="n">
        <v>0.031</v>
      </c>
      <c r="D15" s="7" t="n">
        <v>0.04055</v>
      </c>
      <c r="E15" s="8" t="n">
        <f aca="false">(D15-B15)/C15</f>
        <v>-0.111290322580645</v>
      </c>
      <c r="F15" s="8" t="n">
        <f aca="false">E15^2</f>
        <v>0.012385535900104</v>
      </c>
    </row>
    <row r="16" customFormat="false" ht="15" hidden="false" customHeight="false" outlineLevel="0" collapsed="false">
      <c r="A16" s="6" t="n">
        <v>5</v>
      </c>
      <c r="B16" s="6" t="n">
        <v>0.037</v>
      </c>
      <c r="C16" s="6" t="n">
        <v>0.031</v>
      </c>
      <c r="D16" s="7" t="n">
        <v>0.03107</v>
      </c>
      <c r="E16" s="8" t="n">
        <f aca="false">(D16-B16)/C16</f>
        <v>-0.191290322580645</v>
      </c>
      <c r="F16" s="8" t="n">
        <f aca="false">E16^2</f>
        <v>0.0365919875130073</v>
      </c>
    </row>
    <row r="17" customFormat="false" ht="15" hidden="false" customHeight="false" outlineLevel="0" collapsed="false">
      <c r="A17" s="6" t="n">
        <v>5.51</v>
      </c>
      <c r="B17" s="6" t="n">
        <v>0.044</v>
      </c>
      <c r="C17" s="6" t="n">
        <v>0.031</v>
      </c>
      <c r="D17" s="7" t="n">
        <v>0.02358</v>
      </c>
      <c r="E17" s="8" t="n">
        <f aca="false">(D17-B17)/C17</f>
        <v>-0.658709677419355</v>
      </c>
      <c r="F17" s="8" t="n">
        <f aca="false">E17^2</f>
        <v>0.43389843912591</v>
      </c>
    </row>
    <row r="18" customFormat="false" ht="15" hidden="false" customHeight="false" outlineLevel="0" collapsed="false">
      <c r="A18" s="6" t="n">
        <v>6</v>
      </c>
      <c r="B18" s="6" t="n">
        <v>0.035</v>
      </c>
      <c r="C18" s="6" t="n">
        <v>0.031</v>
      </c>
      <c r="D18" s="7" t="n">
        <v>0.01796</v>
      </c>
      <c r="E18" s="8" t="n">
        <f aca="false">(D18-B18)/C18</f>
        <v>-0.549677419354839</v>
      </c>
      <c r="F18" s="8" t="n">
        <f aca="false">E18^2</f>
        <v>0.302145265348595</v>
      </c>
    </row>
    <row r="20" customFormat="false" ht="15" hidden="false" customHeight="false" outlineLevel="0" collapsed="false">
      <c r="E20" s="5" t="s">
        <v>60</v>
      </c>
      <c r="F20" s="9" t="n">
        <f aca="false">SUM(F6:F18)</f>
        <v>8.17389781477628</v>
      </c>
    </row>
    <row r="21" customFormat="false" ht="15" hidden="false" customHeight="false" outlineLevel="0" collapsed="false">
      <c r="A21" s="2" t="s">
        <v>61</v>
      </c>
    </row>
    <row r="22" customFormat="false" ht="15" hidden="false" customHeight="false" outlineLevel="0" collapsed="false">
      <c r="A22" s="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1" t="s">
        <v>63</v>
      </c>
    </row>
    <row r="2" customFormat="false" ht="15" hidden="false" customHeight="false" outlineLevel="0" collapsed="false">
      <c r="A2" s="2" t="s">
        <v>27</v>
      </c>
    </row>
    <row r="3" customFormat="false" ht="15" hidden="false" customHeight="false" outlineLevel="0" collapsed="false">
      <c r="A3" s="5" t="s">
        <v>53</v>
      </c>
    </row>
    <row r="5" customFormat="false" ht="23.85" hidden="false" customHeight="false" outlineLevel="0" collapsed="false">
      <c r="A5" s="3" t="s">
        <v>64</v>
      </c>
      <c r="B5" s="3" t="s">
        <v>65</v>
      </c>
      <c r="C5" s="3" t="s">
        <v>56</v>
      </c>
    </row>
    <row r="6" customFormat="false" ht="15" hidden="false" customHeight="false" outlineLevel="0" collapsed="false">
      <c r="A6" s="6" t="n">
        <v>0.971</v>
      </c>
      <c r="B6" s="6" t="n">
        <v>0.945</v>
      </c>
      <c r="C6" s="6" t="n">
        <v>0.021</v>
      </c>
    </row>
    <row r="7" customFormat="false" ht="15" hidden="false" customHeight="false" outlineLevel="0" collapsed="false">
      <c r="A7" s="6" t="n">
        <v>2.9</v>
      </c>
      <c r="B7" s="6" t="n">
        <v>0.927</v>
      </c>
      <c r="C7" s="6" t="n">
        <v>0.044</v>
      </c>
    </row>
    <row r="8" customFormat="false" ht="15" hidden="false" customHeight="false" outlineLevel="0" collapsed="false">
      <c r="A8" s="6" t="n">
        <v>9.72</v>
      </c>
      <c r="B8" s="6" t="n">
        <v>0.698</v>
      </c>
      <c r="C8" s="6" t="n">
        <v>0.037</v>
      </c>
    </row>
    <row r="9" customFormat="false" ht="15" hidden="false" customHeight="false" outlineLevel="0" collapsed="false">
      <c r="A9" s="6" t="n">
        <v>19.6</v>
      </c>
      <c r="B9" s="6" t="n">
        <v>0.601</v>
      </c>
      <c r="C9" s="6" t="n">
        <v>0.031</v>
      </c>
    </row>
    <row r="10" customFormat="false" ht="15" hidden="false" customHeight="false" outlineLevel="0" collapsed="false">
      <c r="A10" s="6" t="n">
        <v>29.7</v>
      </c>
      <c r="B10" s="6" t="n">
        <v>0.438</v>
      </c>
      <c r="C10" s="6" t="n">
        <v>0.037</v>
      </c>
    </row>
    <row r="11" customFormat="false" ht="15" hidden="false" customHeight="false" outlineLevel="0" collapsed="false">
      <c r="A11" s="6" t="n">
        <v>98.8</v>
      </c>
      <c r="B11" s="6" t="n">
        <v>0.245</v>
      </c>
      <c r="C11" s="6" t="n">
        <v>0.021</v>
      </c>
    </row>
    <row r="12" customFormat="false" ht="15" hidden="false" customHeight="false" outlineLevel="0" collapsed="false">
      <c r="A12" s="6" t="n">
        <v>199</v>
      </c>
      <c r="B12" s="6" t="n">
        <v>0.121</v>
      </c>
      <c r="C12" s="6" t="n">
        <v>0.021</v>
      </c>
    </row>
    <row r="13" customFormat="false" ht="15" hidden="false" customHeight="false" outlineLevel="0" collapsed="false">
      <c r="A13" s="6" t="n">
        <v>302</v>
      </c>
      <c r="B13" s="6" t="n">
        <v>0.068</v>
      </c>
      <c r="C13" s="6" t="n">
        <v>0.021</v>
      </c>
    </row>
    <row r="14" customFormat="false" ht="15" hidden="false" customHeight="false" outlineLevel="0" collapsed="false">
      <c r="A14" s="6" t="n">
        <v>504</v>
      </c>
      <c r="B14" s="6" t="n">
        <v>0.038</v>
      </c>
      <c r="C14" s="6" t="n">
        <v>0.021</v>
      </c>
    </row>
    <row r="15" customFormat="false" ht="15" hidden="false" customHeight="false" outlineLevel="0" collapsed="false">
      <c r="A15" s="6" t="n">
        <v>1010</v>
      </c>
      <c r="B15" s="6" t="n">
        <v>0.02</v>
      </c>
      <c r="C15" s="6" t="n">
        <v>0.021</v>
      </c>
    </row>
    <row r="16" customFormat="false" ht="15" hidden="false" customHeight="false" outlineLevel="0" collapsed="false">
      <c r="A16" s="6" t="n">
        <v>2970</v>
      </c>
      <c r="B16" s="6" t="n">
        <v>0.004</v>
      </c>
      <c r="C16" s="6" t="n">
        <v>0.021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37</v>
      </c>
    </row>
    <row r="3" customFormat="false" ht="15" hidden="false" customHeight="false" outlineLevel="0" collapsed="false">
      <c r="A3" s="5" t="s">
        <v>53</v>
      </c>
    </row>
    <row r="5" customFormat="false" ht="23.85" hidden="false" customHeight="false" outlineLevel="0" collapsed="false">
      <c r="A5" s="3" t="s">
        <v>67</v>
      </c>
      <c r="B5" s="3" t="s">
        <v>65</v>
      </c>
      <c r="C5" s="3" t="s">
        <v>56</v>
      </c>
    </row>
    <row r="6" customFormat="false" ht="15" hidden="false" customHeight="false" outlineLevel="0" collapsed="false">
      <c r="A6" s="6" t="n">
        <v>0.198</v>
      </c>
      <c r="B6" s="6" t="n">
        <v>0.433</v>
      </c>
      <c r="C6" s="6" t="n">
        <v>0.021</v>
      </c>
    </row>
    <row r="7" customFormat="false" ht="15" hidden="false" customHeight="false" outlineLevel="0" collapsed="false">
      <c r="A7" s="6" t="n">
        <v>0.395</v>
      </c>
      <c r="B7" s="6" t="n">
        <v>0.339</v>
      </c>
      <c r="C7" s="6" t="n">
        <v>0.034</v>
      </c>
    </row>
    <row r="8" customFormat="false" ht="15" hidden="false" customHeight="false" outlineLevel="0" collapsed="false">
      <c r="A8" s="6" t="n">
        <v>0.993</v>
      </c>
      <c r="B8" s="6" t="n">
        <v>0.116</v>
      </c>
      <c r="C8" s="6" t="n">
        <v>0.021</v>
      </c>
    </row>
    <row r="9" customFormat="false" ht="15" hidden="false" customHeight="false" outlineLevel="0" collapsed="false">
      <c r="A9" s="6" t="n">
        <v>2</v>
      </c>
      <c r="B9" s="6" t="n">
        <v>0.049</v>
      </c>
      <c r="C9" s="6" t="n">
        <v>0.021</v>
      </c>
    </row>
    <row r="10" customFormat="false" ht="15" hidden="false" customHeight="false" outlineLevel="0" collapsed="false">
      <c r="A10" s="6" t="n">
        <v>4</v>
      </c>
      <c r="B10" s="6" t="n">
        <v>0.023</v>
      </c>
      <c r="C10" s="6" t="n">
        <v>0.021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2"/>
    <col collapsed="false" customWidth="true" hidden="false" outlineLevel="0" max="3" min="3" style="0" width="10"/>
    <col collapsed="false" customWidth="true" hidden="false" outlineLevel="0" max="4" min="4" style="0" width="24"/>
    <col collapsed="false" customWidth="true" hidden="false" outlineLevel="0" max="5" min="5" style="0" width="20"/>
    <col collapsed="false" customWidth="true" hidden="false" outlineLevel="0" max="6" min="6" style="0" width="14"/>
  </cols>
  <sheetData>
    <row r="1" customFormat="false" ht="15" hidden="false" customHeight="false" outlineLevel="0" collapsed="false">
      <c r="A1" s="1" t="s">
        <v>68</v>
      </c>
    </row>
    <row r="2" customFormat="false" ht="15" hidden="false" customHeight="false" outlineLevel="0" collapsed="false">
      <c r="A2" s="2" t="s">
        <v>46</v>
      </c>
    </row>
    <row r="3" customFormat="false" ht="15" hidden="false" customHeight="false" outlineLevel="0" collapsed="false">
      <c r="A3" s="5" t="s">
        <v>69</v>
      </c>
    </row>
    <row r="5" customFormat="false" ht="23.85" hidden="false" customHeight="false" outlineLevel="0" collapsed="false">
      <c r="A5" s="3" t="s">
        <v>70</v>
      </c>
      <c r="B5" s="3" t="s">
        <v>71</v>
      </c>
      <c r="C5" s="3" t="s">
        <v>56</v>
      </c>
      <c r="D5" s="3" t="s">
        <v>57</v>
      </c>
      <c r="E5" s="3" t="s">
        <v>58</v>
      </c>
      <c r="F5" s="3" t="s">
        <v>59</v>
      </c>
    </row>
    <row r="6" customFormat="false" ht="15" hidden="false" customHeight="false" outlineLevel="0" collapsed="false">
      <c r="A6" s="6" t="n">
        <v>0</v>
      </c>
      <c r="B6" s="6" t="n">
        <v>0.97</v>
      </c>
      <c r="C6" s="6" t="n">
        <v>0.102</v>
      </c>
      <c r="D6" s="7" t="n">
        <v>0.7433</v>
      </c>
      <c r="E6" s="8" t="n">
        <f aca="false">(D6-B6)/C6</f>
        <v>-2.22254901960784</v>
      </c>
      <c r="F6" s="8" t="n">
        <f aca="false">E6^2</f>
        <v>4.93972414455979</v>
      </c>
    </row>
    <row r="7" customFormat="false" ht="15" hidden="false" customHeight="false" outlineLevel="0" collapsed="false">
      <c r="A7" s="6" t="n">
        <v>0.57</v>
      </c>
      <c r="B7" s="6" t="n">
        <v>0.699</v>
      </c>
      <c r="C7" s="6" t="n">
        <v>0.075</v>
      </c>
      <c r="D7" s="7" t="n">
        <v>0.70861</v>
      </c>
      <c r="E7" s="8" t="n">
        <f aca="false">(D7-B7)/C7</f>
        <v>0.128133333333333</v>
      </c>
      <c r="F7" s="8" t="n">
        <f aca="false">E7^2</f>
        <v>0.0164181511111111</v>
      </c>
    </row>
    <row r="8" customFormat="false" ht="15" hidden="false" customHeight="false" outlineLevel="0" collapsed="false">
      <c r="A8" s="6" t="n">
        <v>1.03</v>
      </c>
      <c r="B8" s="6" t="n">
        <v>0.524</v>
      </c>
      <c r="C8" s="6" t="n">
        <v>0.057</v>
      </c>
      <c r="D8" s="7" t="n">
        <v>0.58089</v>
      </c>
      <c r="E8" s="8" t="n">
        <f aca="false">(D8-B8)/C8</f>
        <v>0.998070175438596</v>
      </c>
      <c r="F8" s="8" t="n">
        <f aca="false">E8^2</f>
        <v>0.996144075100031</v>
      </c>
    </row>
    <row r="9" customFormat="false" ht="15" hidden="false" customHeight="false" outlineLevel="0" collapsed="false">
      <c r="A9" s="6" t="n">
        <v>1.49</v>
      </c>
      <c r="B9" s="6" t="n">
        <v>0.397</v>
      </c>
      <c r="C9" s="6" t="n">
        <v>0.045</v>
      </c>
      <c r="D9" s="7" t="n">
        <v>0.44444</v>
      </c>
      <c r="E9" s="8" t="n">
        <f aca="false">(D9-B9)/C9</f>
        <v>1.05422222222222</v>
      </c>
      <c r="F9" s="8" t="n">
        <f aca="false">E9^2</f>
        <v>1.11138449382716</v>
      </c>
    </row>
    <row r="10" customFormat="false" ht="15" hidden="false" customHeight="false" outlineLevel="0" collapsed="false">
      <c r="A10" s="6" t="n">
        <v>2.4</v>
      </c>
      <c r="B10" s="6" t="n">
        <v>0.221</v>
      </c>
      <c r="C10" s="6" t="n">
        <v>0.027</v>
      </c>
      <c r="D10" s="7" t="n">
        <v>0.24726</v>
      </c>
      <c r="E10" s="8" t="n">
        <f aca="false">(D10-B10)/C10</f>
        <v>0.972592592592593</v>
      </c>
      <c r="F10" s="8" t="n">
        <f aca="false">E10^2</f>
        <v>0.945936351165981</v>
      </c>
    </row>
    <row r="11" customFormat="false" ht="15" hidden="false" customHeight="false" outlineLevel="0" collapsed="false">
      <c r="A11" s="6" t="n">
        <v>2.86</v>
      </c>
      <c r="B11" s="6" t="n">
        <v>0.169</v>
      </c>
      <c r="C11" s="6" t="n">
        <v>0.022</v>
      </c>
      <c r="D11" s="7" t="n">
        <v>0.18237</v>
      </c>
      <c r="E11" s="8" t="n">
        <f aca="false">(D11-B11)/C11</f>
        <v>0.607727272727272</v>
      </c>
      <c r="F11" s="8" t="n">
        <f aca="false">E11^2</f>
        <v>0.369332438016529</v>
      </c>
    </row>
    <row r="12" customFormat="false" ht="15" hidden="false" customHeight="false" outlineLevel="0" collapsed="false">
      <c r="A12" s="6" t="n">
        <v>3.31</v>
      </c>
      <c r="B12" s="6" t="n">
        <v>0.13</v>
      </c>
      <c r="C12" s="6" t="n">
        <v>0.018</v>
      </c>
      <c r="D12" s="7" t="n">
        <v>0.13523</v>
      </c>
      <c r="E12" s="8" t="n">
        <f aca="false">(D12-B12)/C12</f>
        <v>0.290555555555555</v>
      </c>
      <c r="F12" s="8" t="n">
        <f aca="false">E12^2</f>
        <v>0.0844225308641971</v>
      </c>
    </row>
    <row r="13" customFormat="false" ht="15" hidden="false" customHeight="false" outlineLevel="0" collapsed="false">
      <c r="A13" s="6" t="n">
        <v>3.77</v>
      </c>
      <c r="B13" s="6" t="n">
        <v>0.101</v>
      </c>
      <c r="C13" s="6" t="n">
        <v>0.015</v>
      </c>
      <c r="D13" s="7" t="n">
        <v>0.09956</v>
      </c>
      <c r="E13" s="8" t="n">
        <f aca="false">(D13-B13)/C13</f>
        <v>-0.0960000000000007</v>
      </c>
      <c r="F13" s="8" t="n">
        <f aca="false">E13^2</f>
        <v>0.00921600000000014</v>
      </c>
    </row>
    <row r="14" customFormat="false" ht="15" hidden="false" customHeight="false" outlineLevel="0" collapsed="false">
      <c r="A14" s="6" t="n">
        <v>4.23</v>
      </c>
      <c r="B14" s="6" t="n">
        <v>0.075</v>
      </c>
      <c r="C14" s="6" t="n">
        <v>0.013</v>
      </c>
      <c r="D14" s="7" t="n">
        <v>0.0733</v>
      </c>
      <c r="E14" s="8" t="n">
        <f aca="false">(D14-B14)/C14</f>
        <v>-0.13076923076923</v>
      </c>
      <c r="F14" s="8" t="n">
        <f aca="false">E14^2</f>
        <v>0.0171005917159762</v>
      </c>
    </row>
    <row r="15" customFormat="false" ht="15" hidden="false" customHeight="false" outlineLevel="0" collapsed="false">
      <c r="A15" s="6" t="n">
        <v>4.91</v>
      </c>
      <c r="B15" s="6" t="n">
        <v>0.052</v>
      </c>
      <c r="C15" s="6" t="n">
        <v>0.01</v>
      </c>
      <c r="D15" s="7" t="n">
        <v>0.04661</v>
      </c>
      <c r="E15" s="8" t="n">
        <f aca="false">(D15-B15)/C15</f>
        <v>-0.539</v>
      </c>
      <c r="F15" s="8" t="n">
        <f aca="false">E15^2</f>
        <v>0.290521</v>
      </c>
    </row>
    <row r="16" customFormat="false" ht="15" hidden="false" customHeight="false" outlineLevel="0" collapsed="false">
      <c r="A16" s="6" t="n">
        <v>5.6</v>
      </c>
      <c r="B16" s="6" t="n">
        <v>0.034</v>
      </c>
      <c r="C16" s="6" t="n">
        <v>0.008</v>
      </c>
      <c r="D16" s="7" t="n">
        <v>0.02945</v>
      </c>
      <c r="E16" s="8" t="n">
        <f aca="false">(D16-B16)/C16</f>
        <v>-0.56875</v>
      </c>
      <c r="F16" s="8" t="n">
        <f aca="false">E16^2</f>
        <v>0.3234765625</v>
      </c>
    </row>
    <row r="17" customFormat="false" ht="15" hidden="false" customHeight="false" outlineLevel="0" collapsed="false">
      <c r="A17" s="6" t="n">
        <v>6.29</v>
      </c>
      <c r="B17" s="6" t="n">
        <v>0.023</v>
      </c>
      <c r="C17" s="6" t="n">
        <v>0.007</v>
      </c>
      <c r="D17" s="7" t="n">
        <v>0.01861</v>
      </c>
      <c r="E17" s="8" t="n">
        <f aca="false">(D17-B17)/C17</f>
        <v>-0.627142857142857</v>
      </c>
      <c r="F17" s="8" t="n">
        <f aca="false">E17^2</f>
        <v>0.393308163265306</v>
      </c>
    </row>
    <row r="18" customFormat="false" ht="15" hidden="false" customHeight="false" outlineLevel="0" collapsed="false">
      <c r="A18" s="6" t="n">
        <v>6.97</v>
      </c>
      <c r="B18" s="6" t="n">
        <v>0.014</v>
      </c>
      <c r="C18" s="6" t="n">
        <v>0.006</v>
      </c>
      <c r="D18" s="7" t="n">
        <v>0.01184</v>
      </c>
      <c r="E18" s="8" t="n">
        <f aca="false">(D18-B18)/C18</f>
        <v>-0.36</v>
      </c>
      <c r="F18" s="8" t="n">
        <f aca="false">E18^2</f>
        <v>0.1296</v>
      </c>
    </row>
    <row r="19" customFormat="false" ht="15" hidden="false" customHeight="false" outlineLevel="0" collapsed="false">
      <c r="A19" s="6" t="n">
        <v>7.89</v>
      </c>
      <c r="B19" s="6" t="n">
        <v>0.009</v>
      </c>
      <c r="C19" s="6" t="n">
        <v>0.006</v>
      </c>
      <c r="D19" s="7" t="n">
        <v>0.00642</v>
      </c>
      <c r="E19" s="8" t="n">
        <f aca="false">(D19-B19)/C19</f>
        <v>-0.43</v>
      </c>
      <c r="F19" s="8" t="n">
        <f aca="false">E19^2</f>
        <v>0.1849</v>
      </c>
    </row>
    <row r="20" customFormat="false" ht="15" hidden="false" customHeight="false" outlineLevel="0" collapsed="false">
      <c r="A20" s="6" t="n">
        <v>8.8</v>
      </c>
      <c r="B20" s="6" t="n">
        <v>0.006</v>
      </c>
      <c r="C20" s="6" t="n">
        <v>0.006</v>
      </c>
      <c r="D20" s="7" t="n">
        <v>0.00351</v>
      </c>
      <c r="E20" s="8" t="n">
        <f aca="false">(D20-B20)/C20</f>
        <v>-0.415</v>
      </c>
      <c r="F20" s="8" t="n">
        <f aca="false">E20^2</f>
        <v>0.172225</v>
      </c>
    </row>
    <row r="21" customFormat="false" ht="15" hidden="false" customHeight="false" outlineLevel="0" collapsed="false">
      <c r="A21" s="6" t="n">
        <v>9.71</v>
      </c>
      <c r="B21" s="6" t="n">
        <v>0.005</v>
      </c>
      <c r="C21" s="6" t="n">
        <v>0.006</v>
      </c>
      <c r="D21" s="7" t="n">
        <v>0.00192</v>
      </c>
      <c r="E21" s="8" t="n">
        <f aca="false">(D21-B21)/C21</f>
        <v>-0.513333333333333</v>
      </c>
      <c r="F21" s="8" t="n">
        <f aca="false">E21^2</f>
        <v>0.263511111111111</v>
      </c>
    </row>
    <row r="23" customFormat="false" ht="15" hidden="false" customHeight="false" outlineLevel="0" collapsed="false">
      <c r="E23" s="5" t="s">
        <v>60</v>
      </c>
      <c r="F23" s="9" t="n">
        <f aca="false">SUM(F6:F21)</f>
        <v>10.2472206132372</v>
      </c>
    </row>
    <row r="24" customFormat="false" ht="15" hidden="false" customHeight="false" outlineLevel="0" collapsed="false">
      <c r="A24" s="2" t="s">
        <v>72</v>
      </c>
    </row>
    <row r="25" customFormat="false" ht="15" hidden="false" customHeight="false" outlineLevel="0" collapsed="false">
      <c r="A25" s="2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30"/>
    <col collapsed="false" customWidth="true" hidden="false" outlineLevel="0" max="3" min="3" style="0" width="18"/>
    <col collapsed="false" customWidth="true" hidden="false" outlineLevel="0" max="4" min="4" style="0" width="16"/>
    <col collapsed="false" customWidth="true" hidden="false" outlineLevel="0" max="5" min="5" style="0" width="28"/>
    <col collapsed="false" customWidth="true" hidden="false" outlineLevel="0" max="6" min="6" style="0" width="8"/>
    <col collapsed="false" customWidth="true" hidden="false" outlineLevel="0" max="8" min="7" style="0" width="12"/>
    <col collapsed="false" customWidth="true" hidden="false" outlineLevel="0" max="9" min="9" style="0" width="30"/>
    <col collapsed="false" customWidth="true" hidden="false" outlineLevel="0" max="10" min="10" style="0" width="45"/>
  </cols>
  <sheetData>
    <row r="1" customFormat="false" ht="15" hidden="false" customHeight="false" outlineLevel="0" collapsed="false">
      <c r="A1" s="1" t="s">
        <v>73</v>
      </c>
    </row>
    <row r="3" customFormat="false" ht="23.85" hidden="false" customHeight="false" outlineLevel="0" collapsed="false">
      <c r="A3" s="3" t="s">
        <v>74</v>
      </c>
      <c r="B3" s="3" t="s">
        <v>75</v>
      </c>
      <c r="C3" s="3" t="s">
        <v>76</v>
      </c>
      <c r="D3" s="3" t="s">
        <v>77</v>
      </c>
      <c r="E3" s="3" t="s">
        <v>78</v>
      </c>
      <c r="F3" s="3" t="s">
        <v>79</v>
      </c>
      <c r="G3" s="3" t="s">
        <v>80</v>
      </c>
      <c r="H3" s="3" t="s">
        <v>81</v>
      </c>
      <c r="I3" s="3" t="s">
        <v>82</v>
      </c>
      <c r="J3" s="3" t="s">
        <v>83</v>
      </c>
    </row>
    <row r="4" customFormat="false" ht="23.85" hidden="false" customHeight="false" outlineLevel="0" collapsed="false">
      <c r="A4" s="4" t="s">
        <v>84</v>
      </c>
      <c r="B4" s="4" t="s">
        <v>85</v>
      </c>
      <c r="C4" s="4" t="s">
        <v>86</v>
      </c>
      <c r="D4" s="4" t="n">
        <v>1E-006</v>
      </c>
      <c r="E4" s="4" t="s">
        <v>87</v>
      </c>
      <c r="F4" s="4" t="n">
        <v>77.8</v>
      </c>
      <c r="G4" s="4" t="n">
        <v>12</v>
      </c>
      <c r="H4" s="10" t="n">
        <f aca="false">F4/G4</f>
        <v>6.48333333333333</v>
      </c>
      <c r="I4" s="4" t="s">
        <v>88</v>
      </c>
      <c r="J4" s="4" t="s">
        <v>89</v>
      </c>
    </row>
    <row r="5" customFormat="false" ht="23.85" hidden="false" customHeight="false" outlineLevel="0" collapsed="false">
      <c r="A5" s="4" t="s">
        <v>90</v>
      </c>
      <c r="B5" s="4" t="s">
        <v>85</v>
      </c>
      <c r="C5" s="4" t="s">
        <v>86</v>
      </c>
      <c r="D5" s="4" t="n">
        <v>1E-006</v>
      </c>
      <c r="E5" s="4" t="s">
        <v>91</v>
      </c>
      <c r="F5" s="4" t="n">
        <v>8.2</v>
      </c>
      <c r="G5" s="4" t="n">
        <v>12</v>
      </c>
      <c r="H5" s="10" t="n">
        <f aca="false">F5/G5</f>
        <v>0.683333333333333</v>
      </c>
      <c r="I5" s="4" t="s">
        <v>92</v>
      </c>
      <c r="J5" s="4" t="s">
        <v>89</v>
      </c>
    </row>
    <row r="6" customFormat="false" ht="23.85" hidden="false" customHeight="false" outlineLevel="0" collapsed="false">
      <c r="A6" s="4" t="s">
        <v>93</v>
      </c>
      <c r="B6" s="4" t="s">
        <v>94</v>
      </c>
      <c r="C6" s="4" t="s">
        <v>95</v>
      </c>
      <c r="D6" s="4" t="n">
        <v>3.99</v>
      </c>
      <c r="E6" s="4" t="s">
        <v>96</v>
      </c>
      <c r="F6" s="4" t="n">
        <v>10.2</v>
      </c>
      <c r="G6" s="4" t="n">
        <v>15</v>
      </c>
      <c r="H6" s="10" t="n">
        <f aca="false">F6/G6</f>
        <v>0.68</v>
      </c>
      <c r="I6" s="4" t="s">
        <v>97</v>
      </c>
      <c r="J6" s="4" t="s">
        <v>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2026-10-10T13:51:45Z</dcterms:created>
  <dc:creator>openpyxl</dc:creator>
  <dc:description/>
  <dc:language>en-US</dc:language>
  <cp:lastModifiedBy/>
  <dcterms:modified xsi:type="dcterms:W3CDTF">2026-10-10T13:51:45Z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
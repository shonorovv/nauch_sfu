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исание" sheetId="1" state="visible" r:id="rId1"/>
    <sheet xmlns:r="http://schemas.openxmlformats.org/officeDocument/2006/relationships" name="Matthews2022_fig1F" sheetId="2" state="visible" r:id="rId2"/>
    <sheet xmlns:r="http://schemas.openxmlformats.org/officeDocument/2006/relationships" name="Clements1992_fig1D_DAA" sheetId="3" state="visible" r:id="rId3"/>
    <sheet xmlns:r="http://schemas.openxmlformats.org/officeDocument/2006/relationships" name="Clements1992_fig1D_DCPP" sheetId="4" state="visible" r:id="rId4"/>
    <sheet xmlns:r="http://schemas.openxmlformats.org/officeDocument/2006/relationships" name="Clements1992_fig3C" sheetId="5" state="visible" r:id="rId5"/>
    <sheet xmlns:r="http://schemas.openxmlformats.org/officeDocument/2006/relationships" name="Matthews2022_fig2A_small" sheetId="6" state="visible" r:id="rId6"/>
    <sheet xmlns:r="http://schemas.openxmlformats.org/officeDocument/2006/relationships" name="Matthews2022_fig2D_spont" sheetId="7" state="visible" r:id="rId7"/>
    <sheet xmlns:r="http://schemas.openxmlformats.org/officeDocument/2006/relationships" name="Matthews2022_fig3B_uncaging" sheetId="8" state="visible" r:id="rId8"/>
    <sheet xmlns:r="http://schemas.openxmlformats.org/officeDocument/2006/relationships" name="Matthews2022_fig3C_NMDA" sheetId="9" state="visible" r:id="rId9"/>
    <sheet xmlns:r="http://schemas.openxmlformats.org/officeDocument/2006/relationships" name="Matthews2022_fig4C_AMPA" sheetId="10" state="visible" r:id="rId10"/>
    <sheet xmlns:r="http://schemas.openxmlformats.org/officeDocument/2006/relationships" name="Matthews2022_fig4D_AMPA_TBOA" sheetId="11" state="visible" r:id="rId11"/>
    <sheet xmlns:r="http://schemas.openxmlformats.org/officeDocument/2006/relationships" name="Единая подгонка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1F4E99"/>
    </font>
  </fonts>
  <fills count="3">
    <fill>
      <patternFill/>
    </fill>
    <fill>
      <patternFill patternType="gray125"/>
    </fill>
    <fill>
      <patternFill patternType="solid">
        <fgColor rgb="00CED8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40" customWidth="1" min="3" max="3"/>
    <col width="24" customWidth="1" min="4" max="4"/>
    <col width="45" customWidth="1" min="5" max="5"/>
    <col width="45" customWidth="1" min="6" max="6"/>
    <col width="12" customWidth="1" min="7" max="7"/>
    <col width="35" customWidth="1" min="8" max="8"/>
    <col width="40" customWidth="1" min="9" max="9"/>
    <col width="40" customWidth="1" min="10" max="10"/>
    <col width="22" customWidth="1" min="11" max="11"/>
  </cols>
  <sheetData>
    <row r="1">
      <c r="A1" s="1" t="inlineStr">
        <is>
          <t>Экспериментальные точки для единой модели диффузии глутамата</t>
        </is>
      </c>
    </row>
    <row r="2">
      <c r="A2" t="inlineStr">
        <is>
          <t>Источник данных для кода: data/experimental_points.json. Эта таблица собрана скриптом scenarios/build_data_xlsx.py. Синий шрифт - оцифрованные данные, χ² считается формулами.</t>
        </is>
      </c>
    </row>
    <row r="4">
      <c r="A4" s="2" t="inlineStr">
        <is>
          <t>Лист</t>
        </is>
      </c>
      <c r="B4" s="2" t="inlineStr">
        <is>
          <t>Тип данных</t>
        </is>
      </c>
      <c r="C4" s="2" t="inlineStr">
        <is>
          <t>Источник</t>
        </is>
      </c>
      <c r="D4" s="2" t="inlineStr">
        <is>
          <t>Рисунок, файл</t>
        </is>
      </c>
      <c r="E4" s="2" t="inlineStr">
        <is>
          <t>Что измерено</t>
        </is>
      </c>
      <c r="F4" s="2" t="inlineStr">
        <is>
          <t>Препарат и условия</t>
        </is>
      </c>
      <c r="G4" s="2" t="inlineStr">
        <is>
          <t>n</t>
        </is>
      </c>
      <c r="H4" s="2" t="inlineStr">
        <is>
          <t>Результат авторов</t>
        </is>
      </c>
      <c r="I4" s="2" t="inlineStr">
        <is>
          <t>Как задана погрешность σ</t>
        </is>
      </c>
      <c r="J4" s="2" t="inlineStr">
        <is>
          <t>Оцифровка</t>
        </is>
      </c>
      <c r="K4" s="2" t="inlineStr">
        <is>
          <t>В единой подгонке</t>
        </is>
      </c>
    </row>
    <row r="5">
      <c r="A5" s="3" t="inlineStr">
        <is>
          <t>Matthews2022_fig1F</t>
        </is>
      </c>
      <c r="B5" s="3" t="inlineStr">
        <is>
          <t>измерение</t>
        </is>
      </c>
      <c r="C5" s="3" t="inlineStr">
        <is>
          <t>Matthews E.A. et al. Optical analysis of glutamate spread in the neuropil. Cerebral Cortex 2022, 32:3669-3689. DOI 10.1093/cercor/bhab440</t>
        </is>
      </c>
      <c r="D5" s="3" t="inlineStr">
        <is>
          <t>Fig. 1F, с. 3673; refs/bhab440.pdf</t>
        </is>
      </c>
      <c r="E5" s="3" t="inlineStr">
        <is>
          <t>Пиковая амплитуда сигнала датчика глутамата iGluSnFr (ΔF/F), нормированная на значение у бутона, в зависимости от расстояния до бутона</t>
        </is>
      </c>
      <c r="F5" s="3" t="inlineStr">
        <is>
          <t>Острые срезы гиппокампа мыши, хилус, малые en-passant бутоны мшистых волокон (диаметр 0,86 ± 0,14 мкм), одиночный потенциал действия; CNQX 10 мкМ, 4-AP 100 мкМ, DPCPX 1 мкМ</t>
        </is>
      </c>
      <c r="G5" s="3" t="inlineStr">
        <is>
          <t>6 бутонов</t>
        </is>
      </c>
      <c r="H5" s="3" t="inlineStr">
        <is>
          <t>λ = 1150 ± 54 нм (подпись на рисунке), 1,2 ± 0,05 мкм (текст)</t>
        </is>
      </c>
      <c r="I5" s="3" t="inlineStr">
        <is>
          <t>σ = 0,031 для всех точек: планки SEM на рисунке скрыты маркером (радиус маркера 0,031 в единицах оси), значит SEM не больше этого; погрешность оцифровки 0,003</t>
        </is>
      </c>
      <c r="J5" s="3" t="inlineStr">
        <is>
          <t>Растр 400 dpi; калибровка по делениям оси Y (0; 0,25; 0,5; 0,75; 1) и точкам x = 0 и 6 мкм; центры маркеров найдены автоматически</t>
        </is>
      </c>
      <c r="K5" s="3" t="inlineStr">
        <is>
          <t>да</t>
        </is>
      </c>
    </row>
    <row r="6">
      <c r="A6" s="3" t="inlineStr">
        <is>
          <t>Clements1992_fig1D_DAA</t>
        </is>
      </c>
      <c r="B6" s="3" t="inlineStr">
        <is>
          <t>измерение</t>
        </is>
      </c>
      <c r="C6" s="3" t="inlineStr">
        <is>
          <t>Clements J.D., Lester R.A.J., Tong G., Jahr C.E., Westbrook G.L. The time course of glutamate in the synaptic cleft. Science 1992, 258:1498-1501</t>
        </is>
      </c>
      <c r="D6" s="3" t="inlineStr">
        <is>
          <t>Fig. 1D, с. 1499, закрашенные кружки; refs/Clements1992.pdf</t>
        </is>
      </c>
      <c r="E6" s="3" t="inlineStr">
        <is>
          <t>Амплитуда NMDA-EPSC (нормированная на контроль) в присутствии быстро диссоциирующего антагониста D-AA</t>
        </is>
      </c>
      <c r="F6" s="3" t="inlineStr">
        <is>
          <t>Культура нейронов гиппокампа, пары клеток, NMDA-EPSC</t>
        </is>
      </c>
      <c r="G6" s="3" t="inlineStr">
        <is>
          <t>в подписи не указано для каждой точки</t>
        </is>
      </c>
      <c r="H6" s="3" t="inlineStr">
        <is>
          <t>Подавление слабее равновесного прогноза; отсюда авторы через кинетическую модель получили импульс 1,1 мМ, τ = 1,2 мс</t>
        </is>
      </c>
      <c r="I6" s="3" t="inlineStr">
        <is>
          <t>Где планка SEM видна - её полудлина; где скрыта маркером - 0,021 (радиус маркера). Ось X логарифмическая, 1 пиксель ≈ 2% концентрации</t>
        </is>
      </c>
      <c r="J6" s="3" t="inlineStr">
        <is>
          <t>Исходное изображение страницы (5056×6566); калибровка по декадам оси X и делениям 0-1 оси Y. Проверка: D-AA 100 мкМ даёт 0,245, в тексте подавление 78 ± 1% (0,22)</t>
        </is>
      </c>
      <c r="K6" s="3" t="inlineStr">
        <is>
          <t>да</t>
        </is>
      </c>
    </row>
    <row r="7">
      <c r="A7" s="3" t="inlineStr">
        <is>
          <t>Clements1992_fig1D_DCPP</t>
        </is>
      </c>
      <c r="B7" s="3" t="inlineStr">
        <is>
          <t>измерение</t>
        </is>
      </c>
      <c r="C7" s="3" t="inlineStr">
        <is>
          <t>Clements et al. 1992, Science 258:1498-1501</t>
        </is>
      </c>
      <c r="D7" s="3" t="inlineStr">
        <is>
          <t>Fig. 1D, с. 1499, открытые кружки; refs/Clements1992.pdf</t>
        </is>
      </c>
      <c r="E7" s="3" t="inlineStr">
        <is>
          <t>Амплитуда NMDA-EPSC в присутствии медленного антагониста D-CPP (контроль: равновесное подавление)</t>
        </is>
      </c>
      <c r="F7" s="3" t="inlineStr">
        <is>
          <t>Культура нейронов гиппокампа</t>
        </is>
      </c>
      <c r="G7" s="3" t="inlineStr">
        <is>
          <t>в подписи не указано</t>
        </is>
      </c>
      <c r="H7" s="3" t="inlineStr">
        <is>
          <t>Совпадает с равновесным прогнозом; D-CPP 1 мкМ подавляет на 88 ± 0,5% (оцифровка: 0,116)</t>
        </is>
      </c>
      <c r="I7" s="3" t="inlineStr">
        <is>
          <t>как для D-AA</t>
        </is>
      </c>
      <c r="J7" s="3" t="inlineStr">
        <is>
          <t>как для D-AA</t>
        </is>
      </c>
      <c r="K7" s="3" t="inlineStr">
        <is>
          <t>да</t>
        </is>
      </c>
    </row>
    <row r="8">
      <c r="A8" s="3" t="inlineStr">
        <is>
          <t>Clements1992_fig3C</t>
        </is>
      </c>
      <c r="B8" s="3" t="inlineStr">
        <is>
          <t>уравнение, подогнанное авторами к измерениям (Fig. 1D)</t>
        </is>
      </c>
      <c r="C8" s="3" t="inlineStr">
        <is>
          <t>Clements et al. 1992, Science 258:1498-1501</t>
        </is>
      </c>
      <c r="D8" s="3" t="inlineStr">
        <is>
          <t>Fig. 3C, с. 1500, толстая линия; refs/Clements1992.pdf</t>
        </is>
      </c>
      <c r="E8" s="3" t="inlineStr">
        <is>
          <t>Оценка концентрации глутамата в щели C(t) после одного выброса: экспонента, подогнанная авторами через кинетическую модель NMDA-рецептора к данным D-AA</t>
        </is>
      </c>
      <c r="F8" s="3" t="inlineStr">
        <is>
          <t>Культура нейронов гиппокампа</t>
        </is>
      </c>
      <c r="G8" s="3" t="inlineStr">
        <is>
          <t>-</t>
        </is>
      </c>
      <c r="H8" s="3" t="inlineStr">
        <is>
          <t>В тексте: пик 1,1 мМ, τ = 1,2 мс, доверительный диапазон пика 1,0-1,5 мМ, τ 0,7-2,0 мс. На рисунке: τ ≈ 1,4-1,7 мс</t>
        </is>
      </c>
      <c r="I8" s="3" t="inlineStr">
        <is>
          <t>σ = 0,1·y + 0,005 мМ - допущение: отражает разброс τ и пика в доверительном диапазоне авторов; погрешность оцифровки 0,003 мМ</t>
        </is>
      </c>
      <c r="J8" s="3" t="inlineStr">
        <is>
          <t>Калибровка по масштабным линейкам 20 мс и 0,2 мМ; ось времени проверена по тонкой кривой (нарастание 10-90% = 7,8 мс, в тексте 7,9)</t>
        </is>
      </c>
      <c r="K8" s="3" t="inlineStr">
        <is>
          <t>нет: оценка авторов через их модель, только проверка</t>
        </is>
      </c>
    </row>
    <row r="9">
      <c r="A9" s="3" t="inlineStr">
        <is>
          <t>Matthews2022_fig2A_small</t>
        </is>
      </c>
      <c r="B9" s="3" t="inlineStr">
        <is>
          <t>измерение</t>
        </is>
      </c>
      <c r="C9" s="3" t="inlineStr">
        <is>
          <t>Matthews E.A. et al. Optical analysis of glutamate spread in the neuropil. Cerebral Cortex 2022, 32:3669-3689. DOI 10.1093/cercor/bhab440</t>
        </is>
      </c>
      <c r="D9" s="3" t="inlineStr">
        <is>
          <t>Fig. 2A, с. 3676; refs/bhab440.pdf</t>
        </is>
      </c>
      <c r="E9" s="3" t="inlineStr">
        <is>
          <t>Пиковая амплитуда сигнала iGluSnFr от расстояния до бутона, только самые малые вызванные ответы (вероятно, одна везикула)</t>
        </is>
      </c>
      <c r="F9" s="3" t="inlineStr">
        <is>
          <t>Как Fig. 1F: малые бутоны мшистых волокон, хилус, одиночный потенциал действия</t>
        </is>
      </c>
      <c r="G9" s="3" t="inlineStr">
        <is>
          <t>15 бутонов (текст)</t>
        </is>
      </c>
      <c r="H9" s="3" t="inlineStr">
        <is>
          <t>λ_small = 1355 ± 27 нм (рисунок); 1,4 ± 0,07 мкм (текст)</t>
        </is>
      </c>
      <c r="I9" s="3" t="inlineStr">
        <is>
          <t>σ = 0,032: планки SEM скрыты маркером (радиус маркера 0,032 в единицах оси)</t>
        </is>
      </c>
      <c r="J9" s="3" t="inlineStr">
        <is>
          <t>Растр страницы 500 dpi; калибровка по делениям осей; центры маркеров найдены автоматически</t>
        </is>
      </c>
      <c r="K9" s="3" t="inlineStr">
        <is>
          <t>да</t>
        </is>
      </c>
    </row>
    <row r="10">
      <c r="A10" s="3" t="inlineStr">
        <is>
          <t>Matthews2022_fig2D_spont</t>
        </is>
      </c>
      <c r="B10" s="3" t="inlineStr">
        <is>
          <t>измерение</t>
        </is>
      </c>
      <c r="C10" s="3" t="inlineStr">
        <is>
          <t>Matthews E.A. et al. Optical analysis of glutamate spread in the neuropil. Cerebral Cortex 2022, 32:3669-3689. DOI 10.1093/cercor/bhab440</t>
        </is>
      </c>
      <c r="D10" s="3" t="inlineStr">
        <is>
          <t>Fig. 2D, с. 3676; refs/bhab440.pdf</t>
        </is>
      </c>
      <c r="E10" s="3" t="inlineStr">
        <is>
          <t>Спонтанные (миниатюрные, одна везикула) события у соседних синапсов: пик сигнала от расстояния до центра события</t>
        </is>
      </c>
      <c r="F10" s="3" t="inlineStr">
        <is>
          <t>Те же срезы, CNQX и APV; события вне окрашенного бутона</t>
        </is>
      </c>
      <c r="G10" s="3" t="inlineStr">
        <is>
          <t>26 событий (текст, Fig. 2C)</t>
        </is>
      </c>
      <c r="H10" s="3" t="inlineStr">
        <is>
          <t>λ_spont = 1228 ± 67 нм</t>
        </is>
      </c>
      <c r="I10" s="3" t="inlineStr">
        <is>
          <t>σ = 0,032 (радиус маркера)</t>
        </is>
      </c>
      <c r="J10" s="3" t="inlineStr">
        <is>
          <t>Растр страницы 500 dpi; калибровка по делениям осей; центры маркеров найдены автоматически</t>
        </is>
      </c>
      <c r="K10" s="3" t="inlineStr">
        <is>
          <t>да</t>
        </is>
      </c>
    </row>
    <row r="11">
      <c r="A11" s="3" t="inlineStr">
        <is>
          <t>Matthews2022_fig3B_uncaging</t>
        </is>
      </c>
      <c r="B11" s="3" t="inlineStr">
        <is>
          <t>измерение</t>
        </is>
      </c>
      <c r="C11" s="3" t="inlineStr">
        <is>
          <t>{"molecules": 36000, "molecules_source": "Matthews 2022: 0,2 фл × 5 мМ × ε 0,3 × α 0,2 × N_A ≈ 36 000", "psf_fwhm_xy_nm": 278, "excitation_volume_fl": 0.2, "pulse_ms": 0.6}</t>
        </is>
      </c>
      <c r="D11" s="3" t="inlineStr">
        <is>
          <t>Fig. 3B, с. 3677, чёрные маркеры (линия параллельно аксонам); refs/bhab440.pdf</t>
        </is>
      </c>
      <c r="E11" s="3" t="inlineStr">
        <is>
          <t>Пик сигнала iGluSnFr от расстояния до точки 2P-анкейджинга глутамата в нейропиле CA1</t>
        </is>
      </c>
      <c r="F11" s="3" t="inlineStr">
        <is>
          <t>Острые срезы CA1, stratum radiatum; MNI-глутамат 5 мМ, импульс 0,6 мс, ~23 мВт; CNQX, APV, TTX</t>
        </is>
      </c>
      <c r="G11" s="3" t="inlineStr">
        <is>
          <t>10</t>
        </is>
      </c>
      <c r="H11" s="3" t="inlineStr">
        <is>
          <t>λ∥ = 1650 ± 140 нм; λ⊥ = 1470 ± 150 нм (серые маркеры почти совпадают)</t>
        </is>
      </c>
      <c r="I11" s="3" t="inlineStr">
        <is>
          <t>σ = 0,030 (радиус маркера)</t>
        </is>
      </c>
      <c r="J11" s="3" t="inlineStr">
        <is>
          <t>Растр страницы 500 dpi; калибровка по делениям осей; центры маркеров найдены автоматически</t>
        </is>
      </c>
      <c r="K11" s="3" t="inlineStr">
        <is>
          <t>да</t>
        </is>
      </c>
    </row>
    <row r="12">
      <c r="A12" s="3" t="inlineStr">
        <is>
          <t>Matthews2022_fig3C_NMDA</t>
        </is>
      </c>
      <c r="B12" s="3" t="inlineStr">
        <is>
          <t>измерение</t>
        </is>
      </c>
      <c r="C12" s="3" t="inlineStr">
        <is>
          <t>Matthews E.A. et al. Optical analysis of glutamate spread in the neuropil. Cerebral Cortex 2022, 32:3669-3689. DOI 10.1093/cercor/bhab440</t>
        </is>
      </c>
      <c r="D12" s="3" t="inlineStr">
        <is>
          <t>Fig. 3C (нижняя панель), с. 3677; refs/bhab440.pdf</t>
        </is>
      </c>
      <c r="E12" s="3" t="inlineStr">
        <is>
          <t>Амплитуда NMDA-uEPSC на шипике (нормированная на значение при анкейджинге у головки шипика) в зависимости от расстояния между точкой 2P-анкейджинга и шипиком</t>
        </is>
      </c>
      <c r="F12" s="3" t="inlineStr">
        <is>
          <t>Острые срезы CA1, stratum radiatum; MNI-глутамат 5 мМ, 720 нм, 0,6 мс, ~23 мВт; CNQX 20 мкМ, TTX 1 мкМ; +40 мВ; комнатная температура; точки через 500 нм, интервал 5 с</t>
        </is>
      </c>
      <c r="G12" s="3" t="inlineStr">
        <is>
          <t>12 шипиков</t>
        </is>
      </c>
      <c r="H12" s="3" t="inlineStr">
        <is>
          <t>λ_NMDA = 1488 ± 159 нм</t>
        </is>
      </c>
      <c r="I12" s="3" t="inlineStr">
        <is>
          <t>Где планка SEM видна - её полудлина (0,050-0,056); у точек 0 и 2 мкм планка скрыта маркером - 0,04 (радиус маркера 0,039)</t>
        </is>
      </c>
      <c r="J12" s="3" t="inlineStr">
        <is>
          <t>Растр 600 dpi (в PDF рисунок растровый); калибровка по делениям 0; 0,5; 1 и 0; 1000; 2000 нм; центры маркеров найдены автоматически. Проверка: exp(-x/1,488) даёт 0,715/0,51/0,365/0,26 - точки лежат около пунктирной кривой авторов</t>
        </is>
      </c>
      <c r="K12" s="3" t="inlineStr">
        <is>
          <t>да</t>
        </is>
      </c>
    </row>
    <row r="13">
      <c r="A13" s="3" t="inlineStr">
        <is>
          <t>Matthews2022_fig4C_AMPA</t>
        </is>
      </c>
      <c r="B13" s="3" t="inlineStr">
        <is>
          <t>измерение</t>
        </is>
      </c>
      <c r="C13" s="3" t="inlineStr">
        <is>
          <t>Matthews E.A. et al. Optical analysis of glutamate spread in the neuropil. Cerebral Cortex 2022, 32:3669-3689. DOI 10.1093/cercor/bhab440</t>
        </is>
      </c>
      <c r="D13" s="3" t="inlineStr">
        <is>
          <t>Fig. 4C, с. 3679; refs/bhab440.pdf</t>
        </is>
      </c>
      <c r="E13" s="3" t="inlineStr">
        <is>
          <t>Амплитуда AMPA-uEPSC шипика при 2P-анкейджинге на расстоянии от вершины шипика, нормированная на значение при 0 нм</t>
        </is>
      </c>
      <c r="F13" s="3" t="inlineStr">
        <is>
          <t>Острые срезы CA1, одиночные шипики проксимальных дендритов; MNI-глутамат 5 мМ, 720 нм, 0,6 мс, 23 мВт; TTX 1 мкМ, APV 50 мкМ, габазин 10 мкМ; шаг 100 нм, 1 Гц; комнатная температура</t>
        </is>
      </c>
      <c r="G13" s="3" t="inlineStr">
        <is>
          <t>27 шипиков</t>
        </is>
      </c>
      <c r="H13" s="3" t="inlineStr">
        <is>
          <t>λ_AMPA = 450 ± 34 нм</t>
        </is>
      </c>
      <c r="I13" s="3" t="inlineStr">
        <is>
          <t>σ = 0,025: планки SEM в основном скрыты маркером (радиус маркера 0,025 в единицах оси)</t>
        </is>
      </c>
      <c r="J13" s="3" t="inlineStr">
        <is>
          <t>Растр 600 dpi (рисунок в PDF растровый, 300 ppi); калибровка по делениям 0; 0,5; 1 и 0; 400; 800 нм; маркеры найдены автоматически после морфологического открытия (убирает пунктир). Проверка: exp(-x/0,45) даёт 0,80/0,64/0,41/0,14 при 100/200/400/900 нм, точки 0,75/0,61/0,41/0,10</t>
        </is>
      </c>
      <c r="K13" s="3" t="inlineStr">
        <is>
          <t>нет: проверка, модель не воспроизводит (docs/unified_model.md, п. 7.5)</t>
        </is>
      </c>
    </row>
    <row r="14">
      <c r="A14" s="3" t="inlineStr">
        <is>
          <t>Matthews2022_fig4D_AMPA_TBOA</t>
        </is>
      </c>
      <c r="B14" s="3" t="inlineStr">
        <is>
          <t>измерение</t>
        </is>
      </c>
      <c r="C14" s="3" t="inlineStr">
        <is>
          <t>Matthews E.A. et al. Optical analysis of glutamate spread in the neuropil. Cerebral Cortex 2022, 32:3669-3689. DOI 10.1093/cercor/bhab440</t>
        </is>
      </c>
      <c r="D14" s="3" t="inlineStr">
        <is>
          <t>Fig. 4D (правая панель), с. 3679; refs/bhab440.pdf</t>
        </is>
      </c>
      <c r="E14" s="3" t="inlineStr">
        <is>
          <t>То же, что Fig. 4C, при блокаде транспортёров глутамата tfb-TBOA 1 мкМ</t>
        </is>
      </c>
      <c r="F14" s="3" t="inlineStr">
        <is>
          <t>Как Fig. 4C + tfb-TBOA 1 мкМ, MK801 40 мкМ; шаг 100 нм; комнатная температура</t>
        </is>
      </c>
      <c r="G14" s="3" t="inlineStr">
        <is>
          <t>21 шипик</t>
        </is>
      </c>
      <c r="H14" s="3" t="inlineStr">
        <is>
          <t>λ = 789 ± 51 нм (в 1,8 раза больше контроля)</t>
        </is>
      </c>
      <c r="I14" s="3" t="inlineStr">
        <is>
          <t>σ = 0,028 (радиус маркера в единицах оси); точка 0 - нормировка</t>
        </is>
      </c>
      <c r="J14" s="3" t="inlineStr">
        <is>
          <t>Растр 600 dpi; калибровка по делениям 0; 0,5; 1 и 0; 800; 1600 нм; маркеры выделены по цвету (голубой), серый пунктир контроля исключён</t>
        </is>
      </c>
      <c r="K14" s="3" t="inlineStr">
        <is>
          <t>нет: проверка, модель не воспроизводит (docs/unified_model.md, п. 7.5)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6" customWidth="1" min="4" max="4"/>
    <col width="18" customWidth="1" min="5" max="5"/>
    <col width="12" customWidth="1" min="6" max="6"/>
    <col width="16" customWidth="1" min="7" max="7"/>
    <col width="12" customWidth="1" min="8" max="8"/>
  </cols>
  <sheetData>
    <row r="1">
      <c r="A1" s="4" t="inlineStr">
        <is>
          <t>Fig. 1F, с. 3673: Пиковая амплитуда сигнала датчика глутамата iGluSnFr (ΔF/F), нормированная на значение у бутона, в зависимости от расстояния до бутона</t>
        </is>
      </c>
    </row>
    <row r="2">
      <c r="A2" t="inlineStr">
        <is>
          <t>Тип: измерение</t>
        </is>
      </c>
    </row>
    <row r="4">
      <c r="A4" s="2" t="inlineStr">
        <is>
          <t>расстояние, мкм</t>
        </is>
      </c>
      <c r="B4" s="2" t="inlineStr">
        <is>
          <t>нормированный ΔF/F</t>
        </is>
      </c>
      <c r="C4" s="2" t="inlineStr">
        <is>
          <t>σ</t>
        </is>
      </c>
      <c r="D4" s="2" t="inlineStr">
        <is>
          <t>единая модель</t>
        </is>
      </c>
      <c r="E4" s="2" t="inlineStr">
        <is>
          <t>(модель - данные)/σ</t>
        </is>
      </c>
      <c r="F4" s="2" t="inlineStr">
        <is>
          <t>вклад в χ²</t>
        </is>
      </c>
      <c r="G4" s="2" t="inlineStr">
        <is>
          <t>исходная модель</t>
        </is>
      </c>
      <c r="H4" s="2" t="inlineStr">
        <is>
          <t>вклад в χ²</t>
        </is>
      </c>
    </row>
    <row r="5">
      <c r="A5" s="5" t="n">
        <v>0</v>
      </c>
      <c r="B5" s="5" t="n">
        <v>1</v>
      </c>
      <c r="C5" s="5" t="n">
        <v>0.031</v>
      </c>
      <c r="D5" t="n">
        <v>1</v>
      </c>
      <c r="E5">
        <f>(D5-B5)/C5</f>
        <v/>
      </c>
      <c r="F5">
        <f>E5^2</f>
        <v/>
      </c>
      <c r="G5" t="n">
        <v>1</v>
      </c>
      <c r="H5">
        <f>((G5-B5)/C5)^2</f>
        <v/>
      </c>
    </row>
    <row r="6">
      <c r="A6" s="5" t="n">
        <v>0.49</v>
      </c>
      <c r="B6" s="5" t="n">
        <v>0.666</v>
      </c>
      <c r="C6" s="5" t="n">
        <v>0.031</v>
      </c>
      <c r="D6" t="n">
        <v>0.70463</v>
      </c>
      <c r="E6">
        <f>(D6-B6)/C6</f>
        <v/>
      </c>
      <c r="F6">
        <f>E6^2</f>
        <v/>
      </c>
      <c r="G6" t="n">
        <v>0.7274</v>
      </c>
      <c r="H6">
        <f>((G6-B6)/C6)^2</f>
        <v/>
      </c>
    </row>
    <row r="7">
      <c r="A7" s="5" t="n">
        <v>1</v>
      </c>
      <c r="B7" s="5" t="n">
        <v>0.406</v>
      </c>
      <c r="C7" s="5" t="n">
        <v>0.031</v>
      </c>
      <c r="D7" t="n">
        <v>0.43076</v>
      </c>
      <c r="E7">
        <f>(D7-B7)/C7</f>
        <v/>
      </c>
      <c r="F7">
        <f>E7^2</f>
        <v/>
      </c>
      <c r="G7" t="n">
        <v>0.30786</v>
      </c>
      <c r="H7">
        <f>((G7-B7)/C7)^2</f>
        <v/>
      </c>
    </row>
    <row r="8">
      <c r="A8" s="5" t="n">
        <v>1.5</v>
      </c>
      <c r="B8" s="5" t="n">
        <v>0.28</v>
      </c>
      <c r="C8" s="5" t="n">
        <v>0.031</v>
      </c>
      <c r="D8" t="n">
        <v>0.29349</v>
      </c>
      <c r="E8">
        <f>(D8-B8)/C8</f>
        <v/>
      </c>
      <c r="F8">
        <f>E8^2</f>
        <v/>
      </c>
      <c r="G8" t="n">
        <v>0.15762</v>
      </c>
      <c r="H8">
        <f>((G8-B8)/C8)^2</f>
        <v/>
      </c>
    </row>
    <row r="9">
      <c r="A9" s="5" t="n">
        <v>2</v>
      </c>
      <c r="B9" s="5" t="n">
        <v>0.185</v>
      </c>
      <c r="C9" s="5" t="n">
        <v>0.031</v>
      </c>
      <c r="D9" t="n">
        <v>0.20003</v>
      </c>
      <c r="E9">
        <f>(D9-B9)/C9</f>
        <v/>
      </c>
      <c r="F9">
        <f>E9^2</f>
        <v/>
      </c>
      <c r="G9" t="n">
        <v>0.09353</v>
      </c>
      <c r="H9">
        <f>((G9-B9)/C9)^2</f>
        <v/>
      </c>
    </row>
    <row r="10">
      <c r="A10" s="5" t="n">
        <v>2.5</v>
      </c>
      <c r="B10" s="5" t="n">
        <v>0.105</v>
      </c>
      <c r="C10" s="5" t="n">
        <v>0.031</v>
      </c>
      <c r="D10" t="n">
        <v>0.13572</v>
      </c>
      <c r="E10">
        <f>(D10-B10)/C10</f>
        <v/>
      </c>
      <c r="F10">
        <f>E10^2</f>
        <v/>
      </c>
      <c r="G10" t="n">
        <v>0.06274</v>
      </c>
      <c r="H10">
        <f>((G10-B10)/C10)^2</f>
        <v/>
      </c>
    </row>
    <row r="11">
      <c r="A11" s="5" t="n">
        <v>3</v>
      </c>
      <c r="B11" s="5" t="n">
        <v>0.07099999999999999</v>
      </c>
      <c r="C11" s="5" t="n">
        <v>0.031</v>
      </c>
      <c r="D11" t="n">
        <v>0.09181</v>
      </c>
      <c r="E11">
        <f>(D11-B11)/C11</f>
        <v/>
      </c>
      <c r="F11">
        <f>E11^2</f>
        <v/>
      </c>
      <c r="G11" t="n">
        <v>0.04459</v>
      </c>
      <c r="H11">
        <f>((G11-B11)/C11)^2</f>
        <v/>
      </c>
    </row>
    <row r="12">
      <c r="A12" s="5" t="n">
        <v>3.5</v>
      </c>
      <c r="B12" s="5" t="n">
        <v>0.048</v>
      </c>
      <c r="C12" s="5" t="n">
        <v>0.031</v>
      </c>
      <c r="D12" t="n">
        <v>0.06199</v>
      </c>
      <c r="E12">
        <f>(D12-B12)/C12</f>
        <v/>
      </c>
      <c r="F12">
        <f>E12^2</f>
        <v/>
      </c>
      <c r="G12" t="n">
        <v>0.03321</v>
      </c>
      <c r="H12">
        <f>((G12-B12)/C12)^2</f>
        <v/>
      </c>
    </row>
    <row r="13">
      <c r="A13" s="5" t="n">
        <v>4</v>
      </c>
      <c r="B13" s="5" t="n">
        <v>0.048</v>
      </c>
      <c r="C13" s="5" t="n">
        <v>0.031</v>
      </c>
      <c r="D13" t="n">
        <v>0.04179</v>
      </c>
      <c r="E13">
        <f>(D13-B13)/C13</f>
        <v/>
      </c>
      <c r="F13">
        <f>E13^2</f>
        <v/>
      </c>
      <c r="G13" t="n">
        <v>0.02565</v>
      </c>
      <c r="H13">
        <f>((G13-B13)/C13)^2</f>
        <v/>
      </c>
    </row>
    <row r="14">
      <c r="A14" s="5" t="n">
        <v>4.5</v>
      </c>
      <c r="B14" s="5" t="n">
        <v>0.044</v>
      </c>
      <c r="C14" s="5" t="n">
        <v>0.031</v>
      </c>
      <c r="D14" t="n">
        <v>0.02814</v>
      </c>
      <c r="E14">
        <f>(D14-B14)/C14</f>
        <v/>
      </c>
      <c r="F14">
        <f>E14^2</f>
        <v/>
      </c>
      <c r="G14" t="n">
        <v>0.02039</v>
      </c>
      <c r="H14">
        <f>((G14-B14)/C14)^2</f>
        <v/>
      </c>
    </row>
    <row r="15">
      <c r="A15" s="5" t="n">
        <v>5</v>
      </c>
      <c r="B15" s="5" t="n">
        <v>0.037</v>
      </c>
      <c r="C15" s="5" t="n">
        <v>0.031</v>
      </c>
      <c r="D15" t="n">
        <v>0.01892</v>
      </c>
      <c r="E15">
        <f>(D15-B15)/C15</f>
        <v/>
      </c>
      <c r="F15">
        <f>E15^2</f>
        <v/>
      </c>
      <c r="G15" t="n">
        <v>0.01657</v>
      </c>
      <c r="H15">
        <f>((G15-B15)/C15)^2</f>
        <v/>
      </c>
    </row>
    <row r="16">
      <c r="A16" s="5" t="n">
        <v>5.51</v>
      </c>
      <c r="B16" s="5" t="n">
        <v>0.044</v>
      </c>
      <c r="C16" s="5" t="n">
        <v>0.031</v>
      </c>
      <c r="D16" t="n">
        <v>0.01261</v>
      </c>
      <c r="E16">
        <f>(D16-B16)/C16</f>
        <v/>
      </c>
      <c r="F16">
        <f>E16^2</f>
        <v/>
      </c>
      <c r="G16" t="n">
        <v>0.01368</v>
      </c>
      <c r="H16">
        <f>((G16-B16)/C16)^2</f>
        <v/>
      </c>
    </row>
    <row r="17">
      <c r="A17" s="5" t="n">
        <v>6</v>
      </c>
      <c r="B17" s="5" t="n">
        <v>0.035</v>
      </c>
      <c r="C17" s="5" t="n">
        <v>0.031</v>
      </c>
      <c r="D17" t="n">
        <v>0.008540000000000001</v>
      </c>
      <c r="E17">
        <f>(D17-B17)/C17</f>
        <v/>
      </c>
      <c r="F17">
        <f>E17^2</f>
        <v/>
      </c>
      <c r="G17" t="n">
        <v>0.01155</v>
      </c>
      <c r="H17">
        <f>((G17-B17)/C17)^2</f>
        <v/>
      </c>
    </row>
    <row r="19">
      <c r="E19" t="inlineStr">
        <is>
          <t>χ² =</t>
        </is>
      </c>
      <c r="F19" s="4">
        <f>SUM(F5:F17)</f>
        <v/>
      </c>
      <c r="H19" s="4">
        <f>SUM(H5:H17)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6" customWidth="1" min="4" max="4"/>
    <col width="18" customWidth="1" min="5" max="5"/>
    <col width="12" customWidth="1" min="6" max="6"/>
    <col width="16" customWidth="1" min="7" max="7"/>
    <col width="12" customWidth="1" min="8" max="8"/>
  </cols>
  <sheetData>
    <row r="1">
      <c r="A1" s="4" t="inlineStr">
        <is>
          <t>Fig. 1D, с. 1499, закрашенные кружки: Амплитуда NMDA-EPSC (нормированная на контроль) в присутствии быстро диссоциирующего антагониста D-AA</t>
        </is>
      </c>
    </row>
    <row r="2">
      <c r="A2" t="inlineStr">
        <is>
          <t>Тип: измерение</t>
        </is>
      </c>
    </row>
    <row r="4">
      <c r="A4" s="2" t="inlineStr">
        <is>
          <t>концентрация D-AA, мкМ</t>
        </is>
      </c>
      <c r="B4" s="2" t="inlineStr">
        <is>
          <t>нормированный EPSC</t>
        </is>
      </c>
      <c r="C4" s="2" t="inlineStr">
        <is>
          <t>σ</t>
        </is>
      </c>
      <c r="D4" s="2" t="inlineStr">
        <is>
          <t>единая модель</t>
        </is>
      </c>
      <c r="E4" s="2" t="inlineStr">
        <is>
          <t>(модель - данные)/σ</t>
        </is>
      </c>
      <c r="F4" s="2" t="inlineStr">
        <is>
          <t>вклад в χ²</t>
        </is>
      </c>
      <c r="G4" s="2" t="inlineStr">
        <is>
          <t>исходная модель</t>
        </is>
      </c>
      <c r="H4" s="2" t="inlineStr">
        <is>
          <t>вклад в χ²</t>
        </is>
      </c>
    </row>
    <row r="5">
      <c r="A5" s="5" t="n">
        <v>0.971</v>
      </c>
      <c r="B5" s="5" t="n">
        <v>0.945</v>
      </c>
      <c r="C5" s="5" t="n">
        <v>0.021</v>
      </c>
      <c r="D5" t="n">
        <v>0.95882</v>
      </c>
      <c r="E5">
        <f>(D5-B5)/C5</f>
        <v/>
      </c>
      <c r="F5">
        <f>E5^2</f>
        <v/>
      </c>
      <c r="G5" t="n">
        <v>0.93991</v>
      </c>
      <c r="H5">
        <f>((G5-B5)/C5)^2</f>
        <v/>
      </c>
    </row>
    <row r="6">
      <c r="A6" s="5" t="n">
        <v>2.9</v>
      </c>
      <c r="B6" s="5" t="n">
        <v>0.927</v>
      </c>
      <c r="C6" s="5" t="n">
        <v>0.044</v>
      </c>
      <c r="D6" t="n">
        <v>0.88761</v>
      </c>
      <c r="E6">
        <f>(D6-B6)/C6</f>
        <v/>
      </c>
      <c r="F6">
        <f>E6^2</f>
        <v/>
      </c>
      <c r="G6" t="n">
        <v>0.8357599999999999</v>
      </c>
      <c r="H6">
        <f>((G6-B6)/C6)^2</f>
        <v/>
      </c>
    </row>
    <row r="7">
      <c r="A7" s="5" t="n">
        <v>9.720000000000001</v>
      </c>
      <c r="B7" s="5" t="n">
        <v>0.698</v>
      </c>
      <c r="C7" s="5" t="n">
        <v>0.037</v>
      </c>
      <c r="D7" t="n">
        <v>0.70858</v>
      </c>
      <c r="E7">
        <f>(D7-B7)/C7</f>
        <v/>
      </c>
      <c r="F7">
        <f>E7^2</f>
        <v/>
      </c>
      <c r="G7" t="n">
        <v>0.58</v>
      </c>
      <c r="H7">
        <f>((G7-B7)/C7)^2</f>
        <v/>
      </c>
    </row>
    <row r="8">
      <c r="A8" s="5" t="n">
        <v>19.6</v>
      </c>
      <c r="B8" s="5" t="n">
        <v>0.601</v>
      </c>
      <c r="C8" s="5" t="n">
        <v>0.031</v>
      </c>
      <c r="D8" t="n">
        <v>0.55462</v>
      </c>
      <c r="E8">
        <f>(D8-B8)/C8</f>
        <v/>
      </c>
      <c r="F8">
        <f>E8^2</f>
        <v/>
      </c>
      <c r="G8" t="n">
        <v>0.37763</v>
      </c>
      <c r="H8">
        <f>((G8-B8)/C8)^2</f>
        <v/>
      </c>
    </row>
    <row r="9">
      <c r="A9" s="5" t="n">
        <v>29.7</v>
      </c>
      <c r="B9" s="5" t="n">
        <v>0.438</v>
      </c>
      <c r="C9" s="5" t="n">
        <v>0.037</v>
      </c>
      <c r="D9" t="n">
        <v>0.45786</v>
      </c>
      <c r="E9">
        <f>(D9-B9)/C9</f>
        <v/>
      </c>
      <c r="F9">
        <f>E9^2</f>
        <v/>
      </c>
      <c r="G9" t="n">
        <v>0.26432</v>
      </c>
      <c r="H9">
        <f>((G9-B9)/C9)^2</f>
        <v/>
      </c>
    </row>
    <row r="10">
      <c r="A10" s="5" t="n">
        <v>98.8</v>
      </c>
      <c r="B10" s="5" t="n">
        <v>0.245</v>
      </c>
      <c r="C10" s="5" t="n">
        <v>0.021</v>
      </c>
      <c r="D10" t="n">
        <v>0.22239</v>
      </c>
      <c r="E10">
        <f>(D10-B10)/C10</f>
        <v/>
      </c>
      <c r="F10">
        <f>E10^2</f>
        <v/>
      </c>
      <c r="G10" t="n">
        <v>0.06073</v>
      </c>
      <c r="H10">
        <f>((G10-B10)/C10)^2</f>
        <v/>
      </c>
    </row>
    <row r="11">
      <c r="A11" s="5" t="n">
        <v>199</v>
      </c>
      <c r="B11" s="5" t="n">
        <v>0.121</v>
      </c>
      <c r="C11" s="5" t="n">
        <v>0.021</v>
      </c>
      <c r="D11" t="n">
        <v>0.13272</v>
      </c>
      <c r="E11">
        <f>(D11-B11)/C11</f>
        <v/>
      </c>
      <c r="F11">
        <f>E11^2</f>
        <v/>
      </c>
      <c r="G11" t="n">
        <v>0.02025</v>
      </c>
      <c r="H11">
        <f>((G11-B11)/C11)^2</f>
        <v/>
      </c>
    </row>
    <row r="12">
      <c r="A12" s="5" t="n">
        <v>302</v>
      </c>
      <c r="B12" s="5" t="n">
        <v>0.068</v>
      </c>
      <c r="C12" s="5" t="n">
        <v>0.021</v>
      </c>
      <c r="D12" t="n">
        <v>0.0941</v>
      </c>
      <c r="E12">
        <f>(D12-B12)/C12</f>
        <v/>
      </c>
      <c r="F12">
        <f>E12^2</f>
        <v/>
      </c>
      <c r="G12" t="n">
        <v>0.00993</v>
      </c>
      <c r="H12">
        <f>((G12-B12)/C12)^2</f>
        <v/>
      </c>
    </row>
    <row r="13">
      <c r="A13" s="5" t="n">
        <v>504</v>
      </c>
      <c r="B13" s="5" t="n">
        <v>0.038</v>
      </c>
      <c r="C13" s="5" t="n">
        <v>0.021</v>
      </c>
      <c r="D13" t="n">
        <v>0.05895</v>
      </c>
      <c r="E13">
        <f>(D13-B13)/C13</f>
        <v/>
      </c>
      <c r="F13">
        <f>E13^2</f>
        <v/>
      </c>
      <c r="G13" t="n">
        <v>0.00397</v>
      </c>
      <c r="H13">
        <f>((G13-B13)/C13)^2</f>
        <v/>
      </c>
    </row>
    <row r="14">
      <c r="A14" s="5" t="n">
        <v>1010</v>
      </c>
      <c r="B14" s="5" t="n">
        <v>0.02</v>
      </c>
      <c r="C14" s="5" t="n">
        <v>0.021</v>
      </c>
      <c r="D14" t="n">
        <v>0.02838</v>
      </c>
      <c r="E14">
        <f>(D14-B14)/C14</f>
        <v/>
      </c>
      <c r="F14">
        <f>E14^2</f>
        <v/>
      </c>
      <c r="G14" t="n">
        <v>0.00108</v>
      </c>
      <c r="H14">
        <f>((G14-B14)/C14)^2</f>
        <v/>
      </c>
    </row>
    <row r="15">
      <c r="A15" s="5" t="n">
        <v>2970</v>
      </c>
      <c r="B15" s="5" t="n">
        <v>0.004</v>
      </c>
      <c r="C15" s="5" t="n">
        <v>0.021</v>
      </c>
      <c r="D15" t="n">
        <v>0.00711</v>
      </c>
      <c r="E15">
        <f>(D15-B15)/C15</f>
        <v/>
      </c>
      <c r="F15">
        <f>E15^2</f>
        <v/>
      </c>
      <c r="G15" t="n">
        <v>0.00013</v>
      </c>
      <c r="H15">
        <f>((G15-B15)/C15)^2</f>
        <v/>
      </c>
    </row>
    <row r="17">
      <c r="E17" t="inlineStr">
        <is>
          <t>χ² =</t>
        </is>
      </c>
      <c r="F17" s="4">
        <f>SUM(F5:F15)</f>
        <v/>
      </c>
      <c r="H17" s="4">
        <f>SUM(H5:H15)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6" customWidth="1" min="4" max="4"/>
    <col width="18" customWidth="1" min="5" max="5"/>
    <col width="12" customWidth="1" min="6" max="6"/>
    <col width="16" customWidth="1" min="7" max="7"/>
    <col width="12" customWidth="1" min="8" max="8"/>
  </cols>
  <sheetData>
    <row r="1">
      <c r="A1" s="4" t="inlineStr">
        <is>
          <t>Fig. 1D, с. 1499, открытые кружки: Амплитуда NMDA-EPSC в присутствии медленного антагониста D-CPP (контроль: равновесное подавление)</t>
        </is>
      </c>
    </row>
    <row r="2">
      <c r="A2" t="inlineStr">
        <is>
          <t>Тип: измерение</t>
        </is>
      </c>
    </row>
    <row r="4">
      <c r="A4" s="2" t="inlineStr">
        <is>
          <t>концентрация D-CPP, мкМ</t>
        </is>
      </c>
      <c r="B4" s="2" t="inlineStr">
        <is>
          <t>нормированный EPSC</t>
        </is>
      </c>
      <c r="C4" s="2" t="inlineStr">
        <is>
          <t>σ</t>
        </is>
      </c>
      <c r="D4" s="2" t="inlineStr">
        <is>
          <t>единая модель</t>
        </is>
      </c>
      <c r="E4" s="2" t="inlineStr">
        <is>
          <t>(модель - данные)/σ</t>
        </is>
      </c>
      <c r="F4" s="2" t="inlineStr">
        <is>
          <t>вклад в χ²</t>
        </is>
      </c>
      <c r="G4" s="2" t="inlineStr">
        <is>
          <t>исходная модель</t>
        </is>
      </c>
      <c r="H4" s="2" t="inlineStr">
        <is>
          <t>вклад в χ²</t>
        </is>
      </c>
    </row>
    <row r="5">
      <c r="A5" s="5" t="n">
        <v>0.198</v>
      </c>
      <c r="B5" s="5" t="n">
        <v>0.433</v>
      </c>
      <c r="C5" s="5" t="n">
        <v>0.021</v>
      </c>
      <c r="D5" t="n">
        <v>0.44843</v>
      </c>
      <c r="E5">
        <f>(D5-B5)/C5</f>
        <v/>
      </c>
      <c r="F5">
        <f>E5^2</f>
        <v/>
      </c>
      <c r="G5" t="n">
        <v>0.4475</v>
      </c>
      <c r="H5">
        <f>((G5-B5)/C5)^2</f>
        <v/>
      </c>
    </row>
    <row r="6">
      <c r="A6" s="5" t="n">
        <v>0.395</v>
      </c>
      <c r="B6" s="5" t="n">
        <v>0.339</v>
      </c>
      <c r="C6" s="5" t="n">
        <v>0.034</v>
      </c>
      <c r="D6" t="n">
        <v>0.2543</v>
      </c>
      <c r="E6">
        <f>(D6-B6)/C6</f>
        <v/>
      </c>
      <c r="F6">
        <f>E6^2</f>
        <v/>
      </c>
      <c r="G6" t="n">
        <v>0.25324</v>
      </c>
      <c r="H6">
        <f>((G6-B6)/C6)^2</f>
        <v/>
      </c>
    </row>
    <row r="7">
      <c r="A7" s="5" t="n">
        <v>0.993</v>
      </c>
      <c r="B7" s="5" t="n">
        <v>0.116</v>
      </c>
      <c r="C7" s="5" t="n">
        <v>0.021</v>
      </c>
      <c r="D7" t="n">
        <v>0.0834</v>
      </c>
      <c r="E7">
        <f>(D7-B7)/C7</f>
        <v/>
      </c>
      <c r="F7">
        <f>E7^2</f>
        <v/>
      </c>
      <c r="G7" t="n">
        <v>0.08252</v>
      </c>
      <c r="H7">
        <f>((G7-B7)/C7)^2</f>
        <v/>
      </c>
    </row>
    <row r="8">
      <c r="A8" s="5" t="n">
        <v>2</v>
      </c>
      <c r="B8" s="5" t="n">
        <v>0.049</v>
      </c>
      <c r="C8" s="5" t="n">
        <v>0.021</v>
      </c>
      <c r="D8" t="n">
        <v>0.02843</v>
      </c>
      <c r="E8">
        <f>(D8-B8)/C8</f>
        <v/>
      </c>
      <c r="F8">
        <f>E8^2</f>
        <v/>
      </c>
      <c r="G8" t="n">
        <v>0.02782</v>
      </c>
      <c r="H8">
        <f>((G8-B8)/C8)^2</f>
        <v/>
      </c>
    </row>
    <row r="9">
      <c r="A9" s="5" t="n">
        <v>4</v>
      </c>
      <c r="B9" s="5" t="n">
        <v>0.023</v>
      </c>
      <c r="C9" s="5" t="n">
        <v>0.021</v>
      </c>
      <c r="D9" t="n">
        <v>0.008670000000000001</v>
      </c>
      <c r="E9">
        <f>(D9-B9)/C9</f>
        <v/>
      </c>
      <c r="F9">
        <f>E9^2</f>
        <v/>
      </c>
      <c r="G9" t="n">
        <v>0.00829</v>
      </c>
      <c r="H9">
        <f>((G9-B9)/C9)^2</f>
        <v/>
      </c>
    </row>
    <row r="11">
      <c r="E11" t="inlineStr">
        <is>
          <t>χ² =</t>
        </is>
      </c>
      <c r="F11" s="4">
        <f>SUM(F5:F9)</f>
        <v/>
      </c>
      <c r="H11" s="4">
        <f>SUM(H5:H9)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6" customWidth="1" min="4" max="4"/>
    <col width="18" customWidth="1" min="5" max="5"/>
    <col width="12" customWidth="1" min="6" max="6"/>
    <col width="16" customWidth="1" min="7" max="7"/>
    <col width="12" customWidth="1" min="8" max="8"/>
  </cols>
  <sheetData>
    <row r="1">
      <c r="A1" s="4" t="inlineStr">
        <is>
          <t>Fig. 3C, с. 1500, толстая линия: Оценка концентрации глутамата в щели C(t) после одного выброса: экспонента, подогнанная авторами через кинетическую модель NMDA-рецептора к данным D-AA</t>
        </is>
      </c>
    </row>
    <row r="2">
      <c r="A2" t="inlineStr">
        <is>
          <t>Тип: уравнение, подогнанное авторами к измерениям (Fig. 1D)</t>
        </is>
      </c>
    </row>
    <row r="4">
      <c r="A4" s="2" t="inlineStr">
        <is>
          <t>время, мс</t>
        </is>
      </c>
      <c r="B4" s="2" t="inlineStr">
        <is>
          <t>концентрация, мМ</t>
        </is>
      </c>
      <c r="C4" s="2" t="inlineStr">
        <is>
          <t>σ</t>
        </is>
      </c>
      <c r="D4" s="2" t="inlineStr">
        <is>
          <t>единая модель</t>
        </is>
      </c>
      <c r="E4" s="2" t="inlineStr">
        <is>
          <t>(модель - данные)/σ</t>
        </is>
      </c>
      <c r="F4" s="2" t="inlineStr">
        <is>
          <t>вклад в χ²</t>
        </is>
      </c>
      <c r="G4" s="2" t="inlineStr">
        <is>
          <t>исходная модель</t>
        </is>
      </c>
      <c r="H4" s="2" t="inlineStr">
        <is>
          <t>вклад в χ²</t>
        </is>
      </c>
    </row>
    <row r="5">
      <c r="A5" s="5" t="n">
        <v>0</v>
      </c>
      <c r="B5" s="5" t="n">
        <v>0.97</v>
      </c>
      <c r="C5" s="5" t="n">
        <v>0.102</v>
      </c>
    </row>
    <row r="6">
      <c r="A6" s="5" t="n">
        <v>0.57</v>
      </c>
      <c r="B6" s="5" t="n">
        <v>0.699</v>
      </c>
      <c r="C6" s="5" t="n">
        <v>0.075</v>
      </c>
    </row>
    <row r="7">
      <c r="A7" s="5" t="n">
        <v>1.03</v>
      </c>
      <c r="B7" s="5" t="n">
        <v>0.524</v>
      </c>
      <c r="C7" s="5" t="n">
        <v>0.057</v>
      </c>
    </row>
    <row r="8">
      <c r="A8" s="5" t="n">
        <v>1.49</v>
      </c>
      <c r="B8" s="5" t="n">
        <v>0.397</v>
      </c>
      <c r="C8" s="5" t="n">
        <v>0.045</v>
      </c>
    </row>
    <row r="9">
      <c r="A9" s="5" t="n">
        <v>2.4</v>
      </c>
      <c r="B9" s="5" t="n">
        <v>0.221</v>
      </c>
      <c r="C9" s="5" t="n">
        <v>0.027</v>
      </c>
    </row>
    <row r="10">
      <c r="A10" s="5" t="n">
        <v>2.86</v>
      </c>
      <c r="B10" s="5" t="n">
        <v>0.169</v>
      </c>
      <c r="C10" s="5" t="n">
        <v>0.022</v>
      </c>
    </row>
    <row r="11">
      <c r="A11" s="5" t="n">
        <v>3.31</v>
      </c>
      <c r="B11" s="5" t="n">
        <v>0.13</v>
      </c>
      <c r="C11" s="5" t="n">
        <v>0.018</v>
      </c>
    </row>
    <row r="12">
      <c r="A12" s="5" t="n">
        <v>3.77</v>
      </c>
      <c r="B12" s="5" t="n">
        <v>0.101</v>
      </c>
      <c r="C12" s="5" t="n">
        <v>0.015</v>
      </c>
    </row>
    <row r="13">
      <c r="A13" s="5" t="n">
        <v>4.23</v>
      </c>
      <c r="B13" s="5" t="n">
        <v>0.075</v>
      </c>
      <c r="C13" s="5" t="n">
        <v>0.013</v>
      </c>
    </row>
    <row r="14">
      <c r="A14" s="5" t="n">
        <v>4.91</v>
      </c>
      <c r="B14" s="5" t="n">
        <v>0.052</v>
      </c>
      <c r="C14" s="5" t="n">
        <v>0.01</v>
      </c>
    </row>
    <row r="15">
      <c r="A15" s="5" t="n">
        <v>5.6</v>
      </c>
      <c r="B15" s="5" t="n">
        <v>0.034</v>
      </c>
      <c r="C15" s="5" t="n">
        <v>0.008</v>
      </c>
    </row>
    <row r="16">
      <c r="A16" s="5" t="n">
        <v>6.29</v>
      </c>
      <c r="B16" s="5" t="n">
        <v>0.023</v>
      </c>
      <c r="C16" s="5" t="n">
        <v>0.007</v>
      </c>
    </row>
    <row r="17">
      <c r="A17" s="5" t="n">
        <v>6.97</v>
      </c>
      <c r="B17" s="5" t="n">
        <v>0.014</v>
      </c>
      <c r="C17" s="5" t="n">
        <v>0.006</v>
      </c>
    </row>
    <row r="18">
      <c r="A18" s="5" t="n">
        <v>7.89</v>
      </c>
      <c r="B18" s="5" t="n">
        <v>0.008999999999999999</v>
      </c>
      <c r="C18" s="5" t="n">
        <v>0.006</v>
      </c>
    </row>
    <row r="19">
      <c r="A19" s="5" t="n">
        <v>8.800000000000001</v>
      </c>
      <c r="B19" s="5" t="n">
        <v>0.006</v>
      </c>
      <c r="C19" s="5" t="n">
        <v>0.006</v>
      </c>
    </row>
    <row r="20">
      <c r="A20" s="5" t="n">
        <v>9.710000000000001</v>
      </c>
      <c r="B20" s="5" t="n">
        <v>0.005</v>
      </c>
      <c r="C20" s="5" t="n">
        <v>0.006</v>
      </c>
    </row>
    <row r="22">
      <c r="A22" t="inlineStr">
        <is>
          <t>Набор не входит в подгонку: это оценка авторов через их модель, используется только для проверки.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6" customWidth="1" min="4" max="4"/>
    <col width="18" customWidth="1" min="5" max="5"/>
    <col width="12" customWidth="1" min="6" max="6"/>
    <col width="16" customWidth="1" min="7" max="7"/>
    <col width="12" customWidth="1" min="8" max="8"/>
  </cols>
  <sheetData>
    <row r="1">
      <c r="A1" s="4" t="inlineStr">
        <is>
          <t>Fig. 2A, с. 3676: Пиковая амплитуда сигнала iGluSnFr от расстояния до бутона, только самые малые вызванные ответы (вероятно, одна везикула)</t>
        </is>
      </c>
    </row>
    <row r="2">
      <c r="A2" t="inlineStr">
        <is>
          <t>Тип: измерение</t>
        </is>
      </c>
    </row>
    <row r="4">
      <c r="A4" s="2" t="inlineStr">
        <is>
          <t>расстояние, мкм</t>
        </is>
      </c>
      <c r="B4" s="2" t="inlineStr">
        <is>
          <t>нормированный ΔF/F</t>
        </is>
      </c>
      <c r="C4" s="2" t="inlineStr">
        <is>
          <t>σ</t>
        </is>
      </c>
      <c r="D4" s="2" t="inlineStr">
        <is>
          <t>единая модель</t>
        </is>
      </c>
      <c r="E4" s="2" t="inlineStr">
        <is>
          <t>(модель - данные)/σ</t>
        </is>
      </c>
      <c r="F4" s="2" t="inlineStr">
        <is>
          <t>вклад в χ²</t>
        </is>
      </c>
      <c r="G4" s="2" t="inlineStr">
        <is>
          <t>исходная модель</t>
        </is>
      </c>
      <c r="H4" s="2" t="inlineStr">
        <is>
          <t>вклад в χ²</t>
        </is>
      </c>
    </row>
    <row r="5">
      <c r="A5" s="5" t="n">
        <v>0</v>
      </c>
      <c r="B5" s="5" t="n">
        <v>1</v>
      </c>
      <c r="C5" s="5" t="n">
        <v>0.032</v>
      </c>
      <c r="D5" t="n">
        <v>1</v>
      </c>
      <c r="E5">
        <f>(D5-B5)/C5</f>
        <v/>
      </c>
      <c r="F5">
        <f>E5^2</f>
        <v/>
      </c>
      <c r="G5" t="n">
        <v>1</v>
      </c>
      <c r="H5">
        <f>((G5-B5)/C5)^2</f>
        <v/>
      </c>
    </row>
    <row r="6">
      <c r="A6" s="5" t="n">
        <v>0.5</v>
      </c>
      <c r="B6" s="5" t="n">
        <v>0.744</v>
      </c>
      <c r="C6" s="5" t="n">
        <v>0.032</v>
      </c>
      <c r="D6" t="n">
        <v>0.69668</v>
      </c>
      <c r="E6">
        <f>(D6-B6)/C6</f>
        <v/>
      </c>
      <c r="F6">
        <f>E6^2</f>
        <v/>
      </c>
      <c r="G6" t="n">
        <v>0.71763</v>
      </c>
      <c r="H6">
        <f>((G6-B6)/C6)^2</f>
        <v/>
      </c>
    </row>
    <row r="7">
      <c r="A7" s="5" t="n">
        <v>1</v>
      </c>
      <c r="B7" s="5" t="n">
        <v>0.476</v>
      </c>
      <c r="C7" s="5" t="n">
        <v>0.032</v>
      </c>
      <c r="D7" t="n">
        <v>0.43076</v>
      </c>
      <c r="E7">
        <f>(D7-B7)/C7</f>
        <v/>
      </c>
      <c r="F7">
        <f>E7^2</f>
        <v/>
      </c>
      <c r="G7" t="n">
        <v>0.30786</v>
      </c>
      <c r="H7">
        <f>((G7-B7)/C7)^2</f>
        <v/>
      </c>
    </row>
    <row r="8">
      <c r="A8" s="5" t="n">
        <v>1.5</v>
      </c>
      <c r="B8" s="5" t="n">
        <v>0.31</v>
      </c>
      <c r="C8" s="5" t="n">
        <v>0.032</v>
      </c>
      <c r="D8" t="n">
        <v>0.29349</v>
      </c>
      <c r="E8">
        <f>(D8-B8)/C8</f>
        <v/>
      </c>
      <c r="F8">
        <f>E8^2</f>
        <v/>
      </c>
      <c r="G8" t="n">
        <v>0.15762</v>
      </c>
      <c r="H8">
        <f>((G8-B8)/C8)^2</f>
        <v/>
      </c>
    </row>
    <row r="9">
      <c r="A9" s="5" t="n">
        <v>2</v>
      </c>
      <c r="B9" s="5" t="n">
        <v>0.203</v>
      </c>
      <c r="C9" s="5" t="n">
        <v>0.032</v>
      </c>
      <c r="D9" t="n">
        <v>0.20003</v>
      </c>
      <c r="E9">
        <f>(D9-B9)/C9</f>
        <v/>
      </c>
      <c r="F9">
        <f>E9^2</f>
        <v/>
      </c>
      <c r="G9" t="n">
        <v>0.09353</v>
      </c>
      <c r="H9">
        <f>((G9-B9)/C9)^2</f>
        <v/>
      </c>
    </row>
    <row r="10">
      <c r="A10" s="5" t="n">
        <v>2.5</v>
      </c>
      <c r="B10" s="5" t="n">
        <v>0.157</v>
      </c>
      <c r="C10" s="5" t="n">
        <v>0.032</v>
      </c>
      <c r="D10" t="n">
        <v>0.13572</v>
      </c>
      <c r="E10">
        <f>(D10-B10)/C10</f>
        <v/>
      </c>
      <c r="F10">
        <f>E10^2</f>
        <v/>
      </c>
      <c r="G10" t="n">
        <v>0.06274</v>
      </c>
      <c r="H10">
        <f>((G10-B10)/C10)^2</f>
        <v/>
      </c>
    </row>
    <row r="11">
      <c r="A11" s="5" t="n">
        <v>3</v>
      </c>
      <c r="B11" s="5" t="n">
        <v>0.153</v>
      </c>
      <c r="C11" s="5" t="n">
        <v>0.032</v>
      </c>
      <c r="D11" t="n">
        <v>0.09181</v>
      </c>
      <c r="E11">
        <f>(D11-B11)/C11</f>
        <v/>
      </c>
      <c r="F11">
        <f>E11^2</f>
        <v/>
      </c>
      <c r="G11" t="n">
        <v>0.04459</v>
      </c>
      <c r="H11">
        <f>((G11-B11)/C11)^2</f>
        <v/>
      </c>
    </row>
    <row r="13">
      <c r="E13" t="inlineStr">
        <is>
          <t>χ² =</t>
        </is>
      </c>
      <c r="F13" s="4">
        <f>SUM(F5:F11)</f>
        <v/>
      </c>
      <c r="H13" s="4">
        <f>SUM(H5:H11)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6" customWidth="1" min="4" max="4"/>
    <col width="18" customWidth="1" min="5" max="5"/>
    <col width="12" customWidth="1" min="6" max="6"/>
    <col width="16" customWidth="1" min="7" max="7"/>
    <col width="12" customWidth="1" min="8" max="8"/>
  </cols>
  <sheetData>
    <row r="1">
      <c r="A1" s="4" t="inlineStr">
        <is>
          <t>Fig. 2D, с. 3676: Спонтанные (миниатюрные, одна везикула) события у соседних синапсов: пик сигнала от расстояния до центра события</t>
        </is>
      </c>
    </row>
    <row r="2">
      <c r="A2" t="inlineStr">
        <is>
          <t>Тип: измерение</t>
        </is>
      </c>
    </row>
    <row r="4">
      <c r="A4" s="2" t="inlineStr">
        <is>
          <t>расстояние, мкм</t>
        </is>
      </c>
      <c r="B4" s="2" t="inlineStr">
        <is>
          <t>нормированный ΔF/F</t>
        </is>
      </c>
      <c r="C4" s="2" t="inlineStr">
        <is>
          <t>σ</t>
        </is>
      </c>
      <c r="D4" s="2" t="inlineStr">
        <is>
          <t>единая модель</t>
        </is>
      </c>
      <c r="E4" s="2" t="inlineStr">
        <is>
          <t>(модель - данные)/σ</t>
        </is>
      </c>
      <c r="F4" s="2" t="inlineStr">
        <is>
          <t>вклад в χ²</t>
        </is>
      </c>
      <c r="G4" s="2" t="inlineStr">
        <is>
          <t>исходная модель</t>
        </is>
      </c>
      <c r="H4" s="2" t="inlineStr">
        <is>
          <t>вклад в χ²</t>
        </is>
      </c>
    </row>
    <row r="5">
      <c r="A5" s="5" t="n">
        <v>0</v>
      </c>
      <c r="B5" s="5" t="n">
        <v>1</v>
      </c>
      <c r="C5" s="5" t="n">
        <v>0.032</v>
      </c>
      <c r="D5" t="n">
        <v>1</v>
      </c>
      <c r="E5">
        <f>(D5-B5)/C5</f>
        <v/>
      </c>
      <c r="F5">
        <f>E5^2</f>
        <v/>
      </c>
      <c r="G5" t="n">
        <v>1</v>
      </c>
      <c r="H5">
        <f>((G5-B5)/C5)^2</f>
        <v/>
      </c>
    </row>
    <row r="6">
      <c r="A6" s="5" t="n">
        <v>0.5</v>
      </c>
      <c r="B6" s="5" t="n">
        <v>0.7</v>
      </c>
      <c r="C6" s="5" t="n">
        <v>0.032</v>
      </c>
      <c r="D6" t="n">
        <v>0.69668</v>
      </c>
      <c r="E6">
        <f>(D6-B6)/C6</f>
        <v/>
      </c>
      <c r="F6">
        <f>E6^2</f>
        <v/>
      </c>
      <c r="G6" t="n">
        <v>0.71763</v>
      </c>
      <c r="H6">
        <f>((G6-B6)/C6)^2</f>
        <v/>
      </c>
    </row>
    <row r="7">
      <c r="A7" s="5" t="n">
        <v>1</v>
      </c>
      <c r="B7" s="5" t="n">
        <v>0.449</v>
      </c>
      <c r="C7" s="5" t="n">
        <v>0.032</v>
      </c>
      <c r="D7" t="n">
        <v>0.43076</v>
      </c>
      <c r="E7">
        <f>(D7-B7)/C7</f>
        <v/>
      </c>
      <c r="F7">
        <f>E7^2</f>
        <v/>
      </c>
      <c r="G7" t="n">
        <v>0.30786</v>
      </c>
      <c r="H7">
        <f>((G7-B7)/C7)^2</f>
        <v/>
      </c>
    </row>
    <row r="8">
      <c r="A8" s="5" t="n">
        <v>1.5</v>
      </c>
      <c r="B8" s="5" t="n">
        <v>0.255</v>
      </c>
      <c r="C8" s="5" t="n">
        <v>0.032</v>
      </c>
      <c r="D8" t="n">
        <v>0.29349</v>
      </c>
      <c r="E8">
        <f>(D8-B8)/C8</f>
        <v/>
      </c>
      <c r="F8">
        <f>E8^2</f>
        <v/>
      </c>
      <c r="G8" t="n">
        <v>0.15762</v>
      </c>
      <c r="H8">
        <f>((G8-B8)/C8)^2</f>
        <v/>
      </c>
    </row>
    <row r="9">
      <c r="A9" s="5" t="n">
        <v>2</v>
      </c>
      <c r="B9" s="5" t="n">
        <v>0.174</v>
      </c>
      <c r="C9" s="5" t="n">
        <v>0.032</v>
      </c>
      <c r="D9" t="n">
        <v>0.20003</v>
      </c>
      <c r="E9">
        <f>(D9-B9)/C9</f>
        <v/>
      </c>
      <c r="F9">
        <f>E9^2</f>
        <v/>
      </c>
      <c r="G9" t="n">
        <v>0.09353</v>
      </c>
      <c r="H9">
        <f>((G9-B9)/C9)^2</f>
        <v/>
      </c>
    </row>
    <row r="10">
      <c r="A10" s="5" t="n">
        <v>2.5</v>
      </c>
      <c r="B10" s="5" t="n">
        <v>0.118</v>
      </c>
      <c r="C10" s="5" t="n">
        <v>0.032</v>
      </c>
      <c r="D10" t="n">
        <v>0.13572</v>
      </c>
      <c r="E10">
        <f>(D10-B10)/C10</f>
        <v/>
      </c>
      <c r="F10">
        <f>E10^2</f>
        <v/>
      </c>
      <c r="G10" t="n">
        <v>0.06274</v>
      </c>
      <c r="H10">
        <f>((G10-B10)/C10)^2</f>
        <v/>
      </c>
    </row>
    <row r="11">
      <c r="A11" s="5" t="n">
        <v>3</v>
      </c>
      <c r="B11" s="5" t="n">
        <v>0.131</v>
      </c>
      <c r="C11" s="5" t="n">
        <v>0.032</v>
      </c>
      <c r="D11" t="n">
        <v>0.09181</v>
      </c>
      <c r="E11">
        <f>(D11-B11)/C11</f>
        <v/>
      </c>
      <c r="F11">
        <f>E11^2</f>
        <v/>
      </c>
      <c r="G11" t="n">
        <v>0.04459</v>
      </c>
      <c r="H11">
        <f>((G11-B11)/C11)^2</f>
        <v/>
      </c>
    </row>
    <row r="12">
      <c r="A12" s="5" t="n">
        <v>3.5</v>
      </c>
      <c r="B12" s="5" t="n">
        <v>0.098</v>
      </c>
      <c r="C12" s="5" t="n">
        <v>0.032</v>
      </c>
      <c r="D12" t="n">
        <v>0.06199</v>
      </c>
      <c r="E12">
        <f>(D12-B12)/C12</f>
        <v/>
      </c>
      <c r="F12">
        <f>E12^2</f>
        <v/>
      </c>
      <c r="G12" t="n">
        <v>0.03321</v>
      </c>
      <c r="H12">
        <f>((G12-B12)/C12)^2</f>
        <v/>
      </c>
    </row>
    <row r="14">
      <c r="E14" t="inlineStr">
        <is>
          <t>χ² =</t>
        </is>
      </c>
      <c r="F14" s="4">
        <f>SUM(F5:F12)</f>
        <v/>
      </c>
      <c r="H14" s="4">
        <f>SUM(H5:H12)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6" customWidth="1" min="4" max="4"/>
    <col width="18" customWidth="1" min="5" max="5"/>
    <col width="12" customWidth="1" min="6" max="6"/>
    <col width="16" customWidth="1" min="7" max="7"/>
    <col width="12" customWidth="1" min="8" max="8"/>
  </cols>
  <sheetData>
    <row r="1">
      <c r="A1" s="4" t="inlineStr">
        <is>
          <t>Fig. 3B, с. 3677, чёрные маркеры (линия параллельно аксонам): Пик сигнала iGluSnFr от расстояния до точки 2P-анкейджинга глутамата в нейропиле CA1</t>
        </is>
      </c>
    </row>
    <row r="2">
      <c r="A2" t="inlineStr">
        <is>
          <t>Тип: измерение</t>
        </is>
      </c>
    </row>
    <row r="4">
      <c r="A4" s="2" t="inlineStr">
        <is>
          <t>расстояние, мкм</t>
        </is>
      </c>
      <c r="B4" s="2" t="inlineStr">
        <is>
          <t>нормированный ΔF/F</t>
        </is>
      </c>
      <c r="C4" s="2" t="inlineStr">
        <is>
          <t>σ</t>
        </is>
      </c>
      <c r="D4" s="2" t="inlineStr">
        <is>
          <t>единая модель</t>
        </is>
      </c>
      <c r="E4" s="2" t="inlineStr">
        <is>
          <t>(модель - данные)/σ</t>
        </is>
      </c>
      <c r="F4" s="2" t="inlineStr">
        <is>
          <t>вклад в χ²</t>
        </is>
      </c>
      <c r="G4" s="2" t="inlineStr">
        <is>
          <t>исходная модель</t>
        </is>
      </c>
      <c r="H4" s="2" t="inlineStr">
        <is>
          <t>вклад в χ²</t>
        </is>
      </c>
    </row>
    <row r="5">
      <c r="A5" s="5" t="n">
        <v>0</v>
      </c>
      <c r="B5" s="5" t="n">
        <v>1</v>
      </c>
      <c r="C5" s="5" t="n">
        <v>0.03</v>
      </c>
      <c r="D5" t="n">
        <v>1</v>
      </c>
      <c r="E5">
        <f>(D5-B5)/C5</f>
        <v/>
      </c>
      <c r="F5">
        <f>E5^2</f>
        <v/>
      </c>
      <c r="G5" t="n">
        <v>1</v>
      </c>
      <c r="H5">
        <f>((G5-B5)/C5)^2</f>
        <v/>
      </c>
    </row>
    <row r="6">
      <c r="A6" s="5" t="n">
        <v>0.51</v>
      </c>
      <c r="B6" s="5" t="n">
        <v>0.835</v>
      </c>
      <c r="C6" s="5" t="n">
        <v>0.03</v>
      </c>
      <c r="D6" t="n">
        <v>0.87307</v>
      </c>
      <c r="E6">
        <f>(D6-B6)/C6</f>
        <v/>
      </c>
      <c r="F6">
        <f>E6^2</f>
        <v/>
      </c>
      <c r="G6" t="n">
        <v>0.90525</v>
      </c>
      <c r="H6">
        <f>((G6-B6)/C6)^2</f>
        <v/>
      </c>
    </row>
    <row r="7">
      <c r="A7" s="5" t="n">
        <v>1</v>
      </c>
      <c r="B7" s="5" t="n">
        <v>0.64</v>
      </c>
      <c r="C7" s="5" t="n">
        <v>0.03</v>
      </c>
      <c r="D7" t="n">
        <v>0.64202</v>
      </c>
      <c r="E7">
        <f>(D7-B7)/C7</f>
        <v/>
      </c>
      <c r="F7">
        <f>E7^2</f>
        <v/>
      </c>
      <c r="G7" t="n">
        <v>0.52001</v>
      </c>
      <c r="H7">
        <f>((G7-B7)/C7)^2</f>
        <v/>
      </c>
    </row>
    <row r="8">
      <c r="A8" s="5" t="n">
        <v>1.51</v>
      </c>
      <c r="B8" s="5" t="n">
        <v>0.471</v>
      </c>
      <c r="C8" s="5" t="n">
        <v>0.03</v>
      </c>
      <c r="D8" t="n">
        <v>0.44973</v>
      </c>
      <c r="E8">
        <f>(D8-B8)/C8</f>
        <v/>
      </c>
      <c r="F8">
        <f>E8^2</f>
        <v/>
      </c>
      <c r="G8" t="n">
        <v>0.05898</v>
      </c>
      <c r="H8">
        <f>((G8-B8)/C8)^2</f>
        <v/>
      </c>
    </row>
    <row r="9">
      <c r="A9" s="5" t="n">
        <v>2</v>
      </c>
      <c r="B9" s="5" t="n">
        <v>0.317</v>
      </c>
      <c r="C9" s="5" t="n">
        <v>0.03</v>
      </c>
      <c r="D9" t="n">
        <v>0.32776</v>
      </c>
      <c r="E9">
        <f>(D9-B9)/C9</f>
        <v/>
      </c>
      <c r="F9">
        <f>E9^2</f>
        <v/>
      </c>
      <c r="G9" t="n">
        <v>0.00118</v>
      </c>
      <c r="H9">
        <f>((G9-B9)/C9)^2</f>
        <v/>
      </c>
    </row>
    <row r="10">
      <c r="A10" s="5" t="n">
        <v>2.51</v>
      </c>
      <c r="B10" s="5" t="n">
        <v>0.26</v>
      </c>
      <c r="C10" s="5" t="n">
        <v>0.03</v>
      </c>
      <c r="D10" t="n">
        <v>0.24378</v>
      </c>
      <c r="E10">
        <f>(D10-B10)/C10</f>
        <v/>
      </c>
      <c r="F10">
        <f>E10^2</f>
        <v/>
      </c>
      <c r="G10" t="n">
        <v>1e-05</v>
      </c>
      <c r="H10">
        <f>((G10-B10)/C10)^2</f>
        <v/>
      </c>
    </row>
    <row r="11">
      <c r="A11" s="5" t="n">
        <v>3</v>
      </c>
      <c r="B11" s="5" t="n">
        <v>0.187</v>
      </c>
      <c r="C11" s="5" t="n">
        <v>0.03</v>
      </c>
      <c r="D11" t="n">
        <v>0.18848</v>
      </c>
      <c r="E11">
        <f>(D11-B11)/C11</f>
        <v/>
      </c>
      <c r="F11">
        <f>E11^2</f>
        <v/>
      </c>
      <c r="G11" t="n">
        <v>0</v>
      </c>
      <c r="H11">
        <f>((G11-B11)/C11)^2</f>
        <v/>
      </c>
    </row>
    <row r="12">
      <c r="A12" s="5" t="n">
        <v>3.51</v>
      </c>
      <c r="B12" s="5" t="n">
        <v>0.132</v>
      </c>
      <c r="C12" s="5" t="n">
        <v>0.03</v>
      </c>
      <c r="D12" t="n">
        <v>0.1476</v>
      </c>
      <c r="E12">
        <f>(D12-B12)/C12</f>
        <v/>
      </c>
      <c r="F12">
        <f>E12^2</f>
        <v/>
      </c>
      <c r="G12" t="n">
        <v>0</v>
      </c>
      <c r="H12">
        <f>((G12-B12)/C12)^2</f>
        <v/>
      </c>
    </row>
    <row r="13">
      <c r="A13" s="5" t="n">
        <v>4</v>
      </c>
      <c r="B13" s="5" t="n">
        <v>0.113</v>
      </c>
      <c r="C13" s="5" t="n">
        <v>0.03</v>
      </c>
      <c r="D13" t="n">
        <v>0.11885</v>
      </c>
      <c r="E13">
        <f>(D13-B13)/C13</f>
        <v/>
      </c>
      <c r="F13">
        <f>E13^2</f>
        <v/>
      </c>
      <c r="G13" t="n">
        <v>0</v>
      </c>
      <c r="H13">
        <f>((G13-B13)/C13)^2</f>
        <v/>
      </c>
    </row>
    <row r="14">
      <c r="A14" s="5" t="n">
        <v>4.5</v>
      </c>
      <c r="B14" s="5" t="n">
        <v>0.049</v>
      </c>
      <c r="C14" s="5" t="n">
        <v>0.03</v>
      </c>
      <c r="D14" t="n">
        <v>0.09675</v>
      </c>
      <c r="E14">
        <f>(D14-B14)/C14</f>
        <v/>
      </c>
      <c r="F14">
        <f>E14^2</f>
        <v/>
      </c>
      <c r="G14" t="n">
        <v>0</v>
      </c>
      <c r="H14">
        <f>((G14-B14)/C14)^2</f>
        <v/>
      </c>
    </row>
    <row r="15">
      <c r="A15" s="5" t="n">
        <v>5</v>
      </c>
      <c r="B15" s="5" t="n">
        <v>0.039</v>
      </c>
      <c r="C15" s="5" t="n">
        <v>0.03</v>
      </c>
      <c r="D15" t="n">
        <v>0.0798</v>
      </c>
      <c r="E15">
        <f>(D15-B15)/C15</f>
        <v/>
      </c>
      <c r="F15">
        <f>E15^2</f>
        <v/>
      </c>
      <c r="G15" t="n">
        <v>0</v>
      </c>
      <c r="H15">
        <f>((G15-B15)/C15)^2</f>
        <v/>
      </c>
    </row>
    <row r="17">
      <c r="E17" t="inlineStr">
        <is>
          <t>χ² =</t>
        </is>
      </c>
      <c r="F17" s="4">
        <f>SUM(F5:F15)</f>
        <v/>
      </c>
      <c r="H17" s="4">
        <f>SUM(H5:H15)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6" customWidth="1" min="4" max="4"/>
    <col width="18" customWidth="1" min="5" max="5"/>
    <col width="12" customWidth="1" min="6" max="6"/>
    <col width="16" customWidth="1" min="7" max="7"/>
    <col width="12" customWidth="1" min="8" max="8"/>
  </cols>
  <sheetData>
    <row r="1">
      <c r="A1" s="4" t="inlineStr">
        <is>
          <t>Fig. 3C (нижняя панель), с. 3677: Амплитуда NMDA-uEPSC на шипике (нормированная на значение при анкейджинге у головки шипика) в зависимости от расстояния между точкой 2P-анкейджинга и шипиком</t>
        </is>
      </c>
    </row>
    <row r="2">
      <c r="A2" t="inlineStr">
        <is>
          <t>Тип: измерение</t>
        </is>
      </c>
    </row>
    <row r="4">
      <c r="A4" s="2" t="inlineStr">
        <is>
          <t>расстояние, мкм</t>
        </is>
      </c>
      <c r="B4" s="2" t="inlineStr">
        <is>
          <t>нормированная амплитуда NMDA-uEPSC</t>
        </is>
      </c>
      <c r="C4" s="2" t="inlineStr">
        <is>
          <t>σ</t>
        </is>
      </c>
      <c r="D4" s="2" t="inlineStr">
        <is>
          <t>единая модель</t>
        </is>
      </c>
      <c r="E4" s="2" t="inlineStr">
        <is>
          <t>(модель - данные)/σ</t>
        </is>
      </c>
      <c r="F4" s="2" t="inlineStr">
        <is>
          <t>вклад в χ²</t>
        </is>
      </c>
      <c r="G4" s="2" t="inlineStr">
        <is>
          <t>исходная модель</t>
        </is>
      </c>
      <c r="H4" s="2" t="inlineStr">
        <is>
          <t>вклад в χ²</t>
        </is>
      </c>
    </row>
    <row r="5">
      <c r="A5" s="5" t="n">
        <v>0</v>
      </c>
      <c r="B5" s="5" t="n">
        <v>0.985</v>
      </c>
      <c r="C5" s="5" t="n">
        <v>0.04</v>
      </c>
      <c r="D5" t="n">
        <v>1</v>
      </c>
      <c r="E5">
        <f>(D5-B5)/C5</f>
        <v/>
      </c>
      <c r="F5">
        <f>E5^2</f>
        <v/>
      </c>
      <c r="G5" t="n">
        <v>1</v>
      </c>
      <c r="H5">
        <f>((G5-B5)/C5)^2</f>
        <v/>
      </c>
    </row>
    <row r="6">
      <c r="A6" s="5" t="n">
        <v>0.5</v>
      </c>
      <c r="B6" s="5" t="n">
        <v>0.73</v>
      </c>
      <c r="C6" s="5" t="n">
        <v>0.055</v>
      </c>
      <c r="D6" t="n">
        <v>0.87256</v>
      </c>
      <c r="E6">
        <f>(D6-B6)/C6</f>
        <v/>
      </c>
      <c r="F6">
        <f>E6^2</f>
        <v/>
      </c>
      <c r="G6" t="n">
        <v>0.9900600000000001</v>
      </c>
      <c r="H6">
        <f>((G6-B6)/C6)^2</f>
        <v/>
      </c>
    </row>
    <row r="7">
      <c r="A7" s="5" t="n">
        <v>1</v>
      </c>
      <c r="B7" s="5" t="n">
        <v>0.551</v>
      </c>
      <c r="C7" s="5" t="n">
        <v>0.05</v>
      </c>
      <c r="D7" t="n">
        <v>0.51896</v>
      </c>
      <c r="E7">
        <f>(D7-B7)/C7</f>
        <v/>
      </c>
      <c r="F7">
        <f>E7^2</f>
        <v/>
      </c>
      <c r="G7" t="n">
        <v>0.8877</v>
      </c>
      <c r="H7">
        <f>((G7-B7)/C7)^2</f>
        <v/>
      </c>
    </row>
    <row r="8">
      <c r="A8" s="5" t="n">
        <v>1.5</v>
      </c>
      <c r="B8" s="5" t="n">
        <v>0.354</v>
      </c>
      <c r="C8" s="5" t="n">
        <v>0.056</v>
      </c>
      <c r="D8" t="n">
        <v>0.29183</v>
      </c>
      <c r="E8">
        <f>(D8-B8)/C8</f>
        <v/>
      </c>
      <c r="F8">
        <f>E8^2</f>
        <v/>
      </c>
      <c r="G8" t="n">
        <v>0.01298</v>
      </c>
      <c r="H8">
        <f>((G8-B8)/C8)^2</f>
        <v/>
      </c>
    </row>
    <row r="9">
      <c r="A9" s="5" t="n">
        <v>2</v>
      </c>
      <c r="B9" s="5" t="n">
        <v>0.176</v>
      </c>
      <c r="C9" s="5" t="n">
        <v>0.04</v>
      </c>
      <c r="D9" t="n">
        <v>0.17171</v>
      </c>
      <c r="E9">
        <f>(D9-B9)/C9</f>
        <v/>
      </c>
      <c r="F9">
        <f>E9^2</f>
        <v/>
      </c>
      <c r="G9" t="n">
        <v>0</v>
      </c>
      <c r="H9">
        <f>((G9-B9)/C9)^2</f>
        <v/>
      </c>
    </row>
    <row r="11">
      <c r="E11" t="inlineStr">
        <is>
          <t>χ² =</t>
        </is>
      </c>
      <c r="F11" s="4">
        <f>SUM(F5:F9)</f>
        <v/>
      </c>
      <c r="H11" s="4">
        <f>SUM(H5:H9)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6" customWidth="1" min="4" max="4"/>
    <col width="18" customWidth="1" min="5" max="5"/>
    <col width="12" customWidth="1" min="6" max="6"/>
    <col width="16" customWidth="1" min="7" max="7"/>
    <col width="12" customWidth="1" min="8" max="8"/>
  </cols>
  <sheetData>
    <row r="1">
      <c r="A1" s="4" t="inlineStr">
        <is>
          <t>Fig. 4C, с. 3679: Амплитуда AMPA-uEPSC шипика при 2P-анкейджинге на расстоянии от вершины шипика, нормированная на значение при 0 нм</t>
        </is>
      </c>
    </row>
    <row r="2">
      <c r="A2" t="inlineStr">
        <is>
          <t>Тип: измерение</t>
        </is>
      </c>
    </row>
    <row r="4">
      <c r="A4" s="2" t="inlineStr">
        <is>
          <t>расстояние, мкм</t>
        </is>
      </c>
      <c r="B4" s="2" t="inlineStr">
        <is>
          <t>нормированная амплитуда AMPA-uEPSC</t>
        </is>
      </c>
      <c r="C4" s="2" t="inlineStr">
        <is>
          <t>σ</t>
        </is>
      </c>
      <c r="D4" s="2" t="inlineStr">
        <is>
          <t>единая модель</t>
        </is>
      </c>
      <c r="E4" s="2" t="inlineStr">
        <is>
          <t>(модель - данные)/σ</t>
        </is>
      </c>
      <c r="F4" s="2" t="inlineStr">
        <is>
          <t>вклад в χ²</t>
        </is>
      </c>
      <c r="G4" s="2" t="inlineStr">
        <is>
          <t>исходная модель</t>
        </is>
      </c>
      <c r="H4" s="2" t="inlineStr">
        <is>
          <t>вклад в χ²</t>
        </is>
      </c>
    </row>
    <row r="5">
      <c r="A5" s="5" t="n">
        <v>0</v>
      </c>
      <c r="B5" s="5" t="n">
        <v>1</v>
      </c>
      <c r="C5" s="5" t="n">
        <v>0.025</v>
      </c>
      <c r="D5" t="n">
        <v>1</v>
      </c>
      <c r="E5">
        <f>(D5-B5)/C5</f>
        <v/>
      </c>
      <c r="F5">
        <f>E5^2</f>
        <v/>
      </c>
      <c r="G5" t="n">
        <v>1</v>
      </c>
      <c r="H5">
        <f>((G5-B5)/C5)^2</f>
        <v/>
      </c>
    </row>
    <row r="6">
      <c r="A6" s="5" t="n">
        <v>0.1</v>
      </c>
      <c r="B6" s="5" t="n">
        <v>0.748</v>
      </c>
      <c r="C6" s="5" t="n">
        <v>0.025</v>
      </c>
      <c r="D6" t="n">
        <v>0.98569</v>
      </c>
      <c r="E6">
        <f>(D6-B6)/C6</f>
        <v/>
      </c>
      <c r="F6">
        <f>E6^2</f>
        <v/>
      </c>
      <c r="G6" t="n">
        <v>0.98437</v>
      </c>
      <c r="H6">
        <f>((G6-B6)/C6)^2</f>
        <v/>
      </c>
    </row>
    <row r="7">
      <c r="A7" s="5" t="n">
        <v>0.2</v>
      </c>
      <c r="B7" s="5" t="n">
        <v>0.607</v>
      </c>
      <c r="C7" s="5" t="n">
        <v>0.025</v>
      </c>
      <c r="D7" t="n">
        <v>0.93768</v>
      </c>
      <c r="E7">
        <f>(D7-B7)/C7</f>
        <v/>
      </c>
      <c r="F7">
        <f>E7^2</f>
        <v/>
      </c>
      <c r="G7" t="n">
        <v>0.92791</v>
      </c>
      <c r="H7">
        <f>((G7-B7)/C7)^2</f>
        <v/>
      </c>
    </row>
    <row r="8">
      <c r="A8" s="5" t="n">
        <v>0.3</v>
      </c>
      <c r="B8" s="5" t="n">
        <v>0.534</v>
      </c>
      <c r="C8" s="5" t="n">
        <v>0.025</v>
      </c>
      <c r="D8" t="n">
        <v>0.84484</v>
      </c>
      <c r="E8">
        <f>(D8-B8)/C8</f>
        <v/>
      </c>
      <c r="F8">
        <f>E8^2</f>
        <v/>
      </c>
      <c r="G8" t="n">
        <v>0.79921</v>
      </c>
      <c r="H8">
        <f>((G8-B8)/C8)^2</f>
        <v/>
      </c>
    </row>
    <row r="9">
      <c r="A9" s="5" t="n">
        <v>0.4</v>
      </c>
      <c r="B9" s="5" t="n">
        <v>0.407</v>
      </c>
      <c r="C9" s="5" t="n">
        <v>0.025</v>
      </c>
      <c r="D9" t="n">
        <v>0.7048</v>
      </c>
      <c r="E9">
        <f>(D9-B9)/C9</f>
        <v/>
      </c>
      <c r="F9">
        <f>E9^2</f>
        <v/>
      </c>
      <c r="G9" t="n">
        <v>0.56008</v>
      </c>
      <c r="H9">
        <f>((G9-B9)/C9)^2</f>
        <v/>
      </c>
    </row>
    <row r="10">
      <c r="A10" s="5" t="n">
        <v>0.5</v>
      </c>
      <c r="B10" s="5" t="n">
        <v>0.308</v>
      </c>
      <c r="C10" s="5" t="n">
        <v>0.025</v>
      </c>
      <c r="D10" t="n">
        <v>0.53951</v>
      </c>
      <c r="E10">
        <f>(D10-B10)/C10</f>
        <v/>
      </c>
      <c r="F10">
        <f>E10^2</f>
        <v/>
      </c>
      <c r="G10" t="n">
        <v>0.26203</v>
      </c>
      <c r="H10">
        <f>((G10-B10)/C10)^2</f>
        <v/>
      </c>
    </row>
    <row r="11">
      <c r="A11" s="5" t="n">
        <v>0.6</v>
      </c>
      <c r="B11" s="5" t="n">
        <v>0.254</v>
      </c>
      <c r="C11" s="5" t="n">
        <v>0.025</v>
      </c>
      <c r="D11" t="n">
        <v>0.38484</v>
      </c>
      <c r="E11">
        <f>(D11-B11)/C11</f>
        <v/>
      </c>
      <c r="F11">
        <f>E11^2</f>
        <v/>
      </c>
      <c r="G11" t="n">
        <v>0.07383000000000001</v>
      </c>
      <c r="H11">
        <f>((G11-B11)/C11)^2</f>
        <v/>
      </c>
    </row>
    <row r="12">
      <c r="A12" s="5" t="n">
        <v>0.7</v>
      </c>
      <c r="B12" s="5" t="n">
        <v>0.179</v>
      </c>
      <c r="C12" s="5" t="n">
        <v>0.025</v>
      </c>
      <c r="D12" t="n">
        <v>0.26356</v>
      </c>
      <c r="E12">
        <f>(D12-B12)/C12</f>
        <v/>
      </c>
      <c r="F12">
        <f>E12^2</f>
        <v/>
      </c>
      <c r="G12" t="n">
        <v>0.02395</v>
      </c>
      <c r="H12">
        <f>((G12-B12)/C12)^2</f>
        <v/>
      </c>
    </row>
    <row r="13">
      <c r="A13" s="5" t="n">
        <v>0.8</v>
      </c>
      <c r="B13" s="5" t="n">
        <v>0.175</v>
      </c>
      <c r="C13" s="5" t="n">
        <v>0.025</v>
      </c>
      <c r="D13" t="n">
        <v>0.17794</v>
      </c>
      <c r="E13">
        <f>(D13-B13)/C13</f>
        <v/>
      </c>
      <c r="F13">
        <f>E13^2</f>
        <v/>
      </c>
      <c r="G13" t="n">
        <v>0.00716</v>
      </c>
      <c r="H13">
        <f>((G13-B13)/C13)^2</f>
        <v/>
      </c>
    </row>
    <row r="14">
      <c r="A14" s="5" t="n">
        <v>0.9</v>
      </c>
      <c r="B14" s="5" t="n">
        <v>0.096</v>
      </c>
      <c r="C14" s="5" t="n">
        <v>0.025</v>
      </c>
      <c r="D14" t="n">
        <v>0.12035</v>
      </c>
      <c r="E14">
        <f>(D14-B14)/C14</f>
        <v/>
      </c>
      <c r="F14">
        <f>E14^2</f>
        <v/>
      </c>
      <c r="G14" t="n">
        <v>0.0011</v>
      </c>
      <c r="H14">
        <f>((G14-B14)/C14)^2</f>
        <v/>
      </c>
    </row>
    <row r="16">
      <c r="E16" t="inlineStr">
        <is>
          <t>χ² =</t>
        </is>
      </c>
      <c r="F16" s="4">
        <f>SUM(F5:F14)</f>
        <v/>
      </c>
      <c r="H16" s="4">
        <f>SUM(H5:H14)</f>
        <v/>
      </c>
    </row>
    <row r="17">
      <c r="A17" t="inlineStr">
        <is>
          <t>Набор не входит в χ² подгонки: проверка модели (см. docs/unified_model.md, п. 7.5).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6" customWidth="1" min="4" max="4"/>
    <col width="18" customWidth="1" min="5" max="5"/>
    <col width="12" customWidth="1" min="6" max="6"/>
    <col width="16" customWidth="1" min="7" max="7"/>
    <col width="12" customWidth="1" min="8" max="8"/>
  </cols>
  <sheetData>
    <row r="1">
      <c r="A1" s="4" t="inlineStr">
        <is>
          <t>Fig. 4D (правая панель), с. 3679: То же, что Fig. 4C, при блокаде транспортёров глутамата tfb-TBOA 1 мкМ</t>
        </is>
      </c>
    </row>
    <row r="2">
      <c r="A2" t="inlineStr">
        <is>
          <t>Тип: измерение</t>
        </is>
      </c>
    </row>
    <row r="4">
      <c r="A4" s="2" t="inlineStr">
        <is>
          <t>расстояние, мкм</t>
        </is>
      </c>
      <c r="B4" s="2" t="inlineStr">
        <is>
          <t>нормированная амплитуда AMPA-uEPSC</t>
        </is>
      </c>
      <c r="C4" s="2" t="inlineStr">
        <is>
          <t>σ</t>
        </is>
      </c>
      <c r="D4" s="2" t="inlineStr">
        <is>
          <t>единая модель</t>
        </is>
      </c>
      <c r="E4" s="2" t="inlineStr">
        <is>
          <t>(модель - данные)/σ</t>
        </is>
      </c>
      <c r="F4" s="2" t="inlineStr">
        <is>
          <t>вклад в χ²</t>
        </is>
      </c>
      <c r="G4" s="2" t="inlineStr">
        <is>
          <t>исходная модель</t>
        </is>
      </c>
      <c r="H4" s="2" t="inlineStr">
        <is>
          <t>вклад в χ²</t>
        </is>
      </c>
    </row>
    <row r="5">
      <c r="A5" s="5" t="n">
        <v>0</v>
      </c>
      <c r="B5" s="5" t="n">
        <v>1</v>
      </c>
      <c r="C5" s="5" t="n">
        <v>0.028</v>
      </c>
      <c r="D5" t="n">
        <v>1</v>
      </c>
      <c r="E5">
        <f>(D5-B5)/C5</f>
        <v/>
      </c>
      <c r="F5">
        <f>E5^2</f>
        <v/>
      </c>
      <c r="G5" t="n">
        <v>1</v>
      </c>
      <c r="H5">
        <f>((G5-B5)/C5)^2</f>
        <v/>
      </c>
    </row>
    <row r="6">
      <c r="A6" s="5" t="n">
        <v>0.1</v>
      </c>
      <c r="B6" s="5" t="n">
        <v>0.887</v>
      </c>
      <c r="C6" s="5" t="n">
        <v>0.028</v>
      </c>
      <c r="D6" t="n">
        <v>0.98569</v>
      </c>
      <c r="E6">
        <f>(D6-B6)/C6</f>
        <v/>
      </c>
      <c r="F6">
        <f>E6^2</f>
        <v/>
      </c>
      <c r="G6" t="n">
        <v>0.98437</v>
      </c>
      <c r="H6">
        <f>((G6-B6)/C6)^2</f>
        <v/>
      </c>
    </row>
    <row r="7">
      <c r="A7" s="5" t="n">
        <v>0.2</v>
      </c>
      <c r="B7" s="5" t="n">
        <v>0.797</v>
      </c>
      <c r="C7" s="5" t="n">
        <v>0.028</v>
      </c>
      <c r="D7" t="n">
        <v>0.93769</v>
      </c>
      <c r="E7">
        <f>(D7-B7)/C7</f>
        <v/>
      </c>
      <c r="F7">
        <f>E7^2</f>
        <v/>
      </c>
      <c r="G7" t="n">
        <v>0.92791</v>
      </c>
      <c r="H7">
        <f>((G7-B7)/C7)^2</f>
        <v/>
      </c>
    </row>
    <row r="8">
      <c r="A8" s="5" t="n">
        <v>0.3</v>
      </c>
      <c r="B8" s="5" t="n">
        <v>0.727</v>
      </c>
      <c r="C8" s="5" t="n">
        <v>0.028</v>
      </c>
      <c r="D8" t="n">
        <v>0.84485</v>
      </c>
      <c r="E8">
        <f>(D8-B8)/C8</f>
        <v/>
      </c>
      <c r="F8">
        <f>E8^2</f>
        <v/>
      </c>
      <c r="G8" t="n">
        <v>0.79921</v>
      </c>
      <c r="H8">
        <f>((G8-B8)/C8)^2</f>
        <v/>
      </c>
    </row>
    <row r="9">
      <c r="A9" s="5" t="n">
        <v>0.4</v>
      </c>
      <c r="B9" s="5" t="n">
        <v>0.647</v>
      </c>
      <c r="C9" s="5" t="n">
        <v>0.028</v>
      </c>
      <c r="D9" t="n">
        <v>0.70481</v>
      </c>
      <c r="E9">
        <f>(D9-B9)/C9</f>
        <v/>
      </c>
      <c r="F9">
        <f>E9^2</f>
        <v/>
      </c>
      <c r="G9" t="n">
        <v>0.56008</v>
      </c>
      <c r="H9">
        <f>((G9-B9)/C9)^2</f>
        <v/>
      </c>
    </row>
    <row r="10">
      <c r="A10" s="5" t="n">
        <v>0.5</v>
      </c>
      <c r="B10" s="5" t="n">
        <v>0.528</v>
      </c>
      <c r="C10" s="5" t="n">
        <v>0.028</v>
      </c>
      <c r="D10" t="n">
        <v>0.53952</v>
      </c>
      <c r="E10">
        <f>(D10-B10)/C10</f>
        <v/>
      </c>
      <c r="F10">
        <f>E10^2</f>
        <v/>
      </c>
      <c r="G10" t="n">
        <v>0.26203</v>
      </c>
      <c r="H10">
        <f>((G10-B10)/C10)^2</f>
        <v/>
      </c>
    </row>
    <row r="11">
      <c r="A11" s="5" t="n">
        <v>0.6</v>
      </c>
      <c r="B11" s="5" t="n">
        <v>0.481</v>
      </c>
      <c r="C11" s="5" t="n">
        <v>0.028</v>
      </c>
      <c r="D11" t="n">
        <v>0.38486</v>
      </c>
      <c r="E11">
        <f>(D11-B11)/C11</f>
        <v/>
      </c>
      <c r="F11">
        <f>E11^2</f>
        <v/>
      </c>
      <c r="G11" t="n">
        <v>0.07383000000000001</v>
      </c>
      <c r="H11">
        <f>((G11-B11)/C11)^2</f>
        <v/>
      </c>
    </row>
    <row r="12">
      <c r="A12" s="5" t="n">
        <v>0.7</v>
      </c>
      <c r="B12" s="5" t="n">
        <v>0.393</v>
      </c>
      <c r="C12" s="5" t="n">
        <v>0.028</v>
      </c>
      <c r="D12" t="n">
        <v>0.26358</v>
      </c>
      <c r="E12">
        <f>(D12-B12)/C12</f>
        <v/>
      </c>
      <c r="F12">
        <f>E12^2</f>
        <v/>
      </c>
      <c r="G12" t="n">
        <v>0.02395</v>
      </c>
      <c r="H12">
        <f>((G12-B12)/C12)^2</f>
        <v/>
      </c>
    </row>
    <row r="13">
      <c r="A13" s="5" t="n">
        <v>0.8</v>
      </c>
      <c r="B13" s="5" t="n">
        <v>0.374</v>
      </c>
      <c r="C13" s="5" t="n">
        <v>0.028</v>
      </c>
      <c r="D13" t="n">
        <v>0.17797</v>
      </c>
      <c r="E13">
        <f>(D13-B13)/C13</f>
        <v/>
      </c>
      <c r="F13">
        <f>E13^2</f>
        <v/>
      </c>
      <c r="G13" t="n">
        <v>0.00716</v>
      </c>
      <c r="H13">
        <f>((G13-B13)/C13)^2</f>
        <v/>
      </c>
    </row>
    <row r="14">
      <c r="A14" s="5" t="n">
        <v>0.9</v>
      </c>
      <c r="B14" s="5" t="n">
        <v>0.275</v>
      </c>
      <c r="C14" s="5" t="n">
        <v>0.028</v>
      </c>
      <c r="D14" t="n">
        <v>0.12038</v>
      </c>
      <c r="E14">
        <f>(D14-B14)/C14</f>
        <v/>
      </c>
      <c r="F14">
        <f>E14^2</f>
        <v/>
      </c>
      <c r="G14" t="n">
        <v>0.0011</v>
      </c>
      <c r="H14">
        <f>((G14-B14)/C14)^2</f>
        <v/>
      </c>
    </row>
    <row r="15">
      <c r="A15" s="5" t="n">
        <v>1</v>
      </c>
      <c r="B15" s="5" t="n">
        <v>0.297</v>
      </c>
      <c r="C15" s="5" t="n">
        <v>0.028</v>
      </c>
      <c r="D15" t="n">
        <v>0.08223999999999999</v>
      </c>
      <c r="E15">
        <f>(D15-B15)/C15</f>
        <v/>
      </c>
      <c r="F15">
        <f>E15^2</f>
        <v/>
      </c>
      <c r="G15" t="n">
        <v>0.00011</v>
      </c>
      <c r="H15">
        <f>((G15-B15)/C15)^2</f>
        <v/>
      </c>
    </row>
    <row r="16">
      <c r="A16" s="5" t="n">
        <v>1.1</v>
      </c>
      <c r="B16" s="5" t="n">
        <v>0.239</v>
      </c>
      <c r="C16" s="5" t="n">
        <v>0.028</v>
      </c>
      <c r="D16" t="n">
        <v>0.05695</v>
      </c>
      <c r="E16">
        <f>(D16-B16)/C16</f>
        <v/>
      </c>
      <c r="F16">
        <f>E16^2</f>
        <v/>
      </c>
      <c r="G16" t="n">
        <v>1e-05</v>
      </c>
      <c r="H16">
        <f>((G16-B16)/C16)^2</f>
        <v/>
      </c>
    </row>
    <row r="17">
      <c r="A17" s="5" t="n">
        <v>1.2</v>
      </c>
      <c r="B17" s="5" t="n">
        <v>0.197</v>
      </c>
      <c r="C17" s="5" t="n">
        <v>0.028</v>
      </c>
      <c r="D17" t="n">
        <v>0.04004</v>
      </c>
      <c r="E17">
        <f>(D17-B17)/C17</f>
        <v/>
      </c>
      <c r="F17">
        <f>E17^2</f>
        <v/>
      </c>
      <c r="G17" t="n">
        <v>0</v>
      </c>
      <c r="H17">
        <f>((G17-B17)/C17)^2</f>
        <v/>
      </c>
    </row>
    <row r="18">
      <c r="A18" s="5" t="n">
        <v>1.3</v>
      </c>
      <c r="B18" s="5" t="n">
        <v>0.157</v>
      </c>
      <c r="C18" s="5" t="n">
        <v>0.028</v>
      </c>
      <c r="D18" t="n">
        <v>0.02858</v>
      </c>
      <c r="E18">
        <f>(D18-B18)/C18</f>
        <v/>
      </c>
      <c r="F18">
        <f>E18^2</f>
        <v/>
      </c>
      <c r="G18" t="n">
        <v>0</v>
      </c>
      <c r="H18">
        <f>((G18-B18)/C18)^2</f>
        <v/>
      </c>
    </row>
    <row r="19">
      <c r="A19" s="5" t="n">
        <v>1.4</v>
      </c>
      <c r="B19" s="5" t="n">
        <v>0.187</v>
      </c>
      <c r="C19" s="5" t="n">
        <v>0.028</v>
      </c>
      <c r="D19" t="n">
        <v>0.02072</v>
      </c>
      <c r="E19">
        <f>(D19-B19)/C19</f>
        <v/>
      </c>
      <c r="F19">
        <f>E19^2</f>
        <v/>
      </c>
      <c r="G19" t="n">
        <v>0</v>
      </c>
      <c r="H19">
        <f>((G19-B19)/C19)^2</f>
        <v/>
      </c>
    </row>
    <row r="21">
      <c r="E21" t="inlineStr">
        <is>
          <t>χ² =</t>
        </is>
      </c>
      <c r="F21" s="4">
        <f>SUM(F5:F19)</f>
        <v/>
      </c>
      <c r="H21" s="4">
        <f>SUM(H5:H19)</f>
        <v/>
      </c>
    </row>
    <row r="22">
      <c r="A22" t="inlineStr">
        <is>
          <t>Набор не входит в χ² подгонки: проверка модели (см. docs/unified_model.md, п. 7.5).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4" t="inlineStr">
        <is>
          <t>Единая МНК-подгонка: один набор параметров для всех наборов (scenarios/unified_fit.py, 12.10.2026)</t>
        </is>
      </c>
    </row>
    <row r="3">
      <c r="A3" s="2" t="inlineStr">
        <is>
          <t>Вариант</t>
        </is>
      </c>
      <c r="B3" s="2" t="inlineStr">
        <is>
          <t>Свободных k</t>
        </is>
      </c>
      <c r="C3" s="2" t="inlineStr">
        <is>
          <t>Точек n</t>
        </is>
      </c>
      <c r="D3" s="2" t="inlineStr">
        <is>
          <t>χ²</t>
        </is>
      </c>
      <c r="E3" s="2" t="inlineStr">
        <is>
          <t>χ²/(n-k)</t>
        </is>
      </c>
      <c r="F3" s="2" t="inlineStr">
        <is>
          <t>AIC = χ²+2k</t>
        </is>
      </c>
      <c r="G3" s="2" t="inlineStr">
        <is>
          <t>matthews2022_fig1F</t>
        </is>
      </c>
      <c r="H3" s="2" t="inlineStr">
        <is>
          <t>matthews2022_fig2A_small</t>
        </is>
      </c>
      <c r="I3" s="2" t="inlineStr">
        <is>
          <t>matthews2022_fig2D_spont</t>
        </is>
      </c>
      <c r="J3" s="2" t="inlineStr">
        <is>
          <t>matthews2022_fig3B_uncaging</t>
        </is>
      </c>
      <c r="K3" s="2" t="inlineStr">
        <is>
          <t>matthews2022_fig3C_NMDA</t>
        </is>
      </c>
      <c r="L3" s="2" t="inlineStr">
        <is>
          <t>clements1992_fig1D_DAA</t>
        </is>
      </c>
      <c r="M3" s="2" t="inlineStr">
        <is>
          <t>clements1992_fig1D_DCPP</t>
        </is>
      </c>
      <c r="N3" s="2" t="inlineStr">
        <is>
          <t>matthews2022_fig4C_AMPA</t>
        </is>
      </c>
      <c r="O3" s="2" t="inlineStr">
        <is>
          <t>matthews2022_fig4D_AMPA_TBOA</t>
        </is>
      </c>
    </row>
    <row r="4">
      <c r="A4" t="inlineStr">
        <is>
          <t>исходная модель (config.py)</t>
        </is>
      </c>
      <c r="B4" t="n">
        <v>0</v>
      </c>
      <c r="C4" t="n">
        <v>60</v>
      </c>
      <c r="D4" t="n">
        <v>984.24</v>
      </c>
      <c r="E4" t="n">
        <v>16.404</v>
      </c>
      <c r="F4" t="n">
        <v>984.24</v>
      </c>
      <c r="G4" t="n">
        <v>44.11</v>
      </c>
      <c r="H4" t="n">
        <v>82.81999999999999</v>
      </c>
      <c r="I4" t="n">
        <v>49.72</v>
      </c>
      <c r="J4" t="n">
        <v>472.8</v>
      </c>
      <c r="K4" t="n">
        <v>124.29</v>
      </c>
      <c r="L4" t="n">
        <v>199.61</v>
      </c>
      <c r="M4" t="n">
        <v>10.89</v>
      </c>
      <c r="N4" t="inlineStr">
        <is>
          <t>557.5 (проверка)</t>
        </is>
      </c>
      <c r="O4" t="inlineStr">
        <is>
          <t>1103.8 (проверка)</t>
        </is>
      </c>
    </row>
    <row r="5">
      <c r="A5" t="inlineStr">
        <is>
          <t>единая модель (основной результат)</t>
        </is>
      </c>
      <c r="B5" t="n">
        <v>8</v>
      </c>
      <c r="C5" t="n">
        <v>60</v>
      </c>
      <c r="D5" t="n">
        <v>55.08</v>
      </c>
      <c r="E5" t="n">
        <v>1.059</v>
      </c>
      <c r="F5" t="n">
        <v>71.08</v>
      </c>
      <c r="G5" t="n">
        <v>6.65</v>
      </c>
      <c r="H5" t="n">
        <v>8.56</v>
      </c>
      <c r="I5" t="n">
        <v>5.52</v>
      </c>
      <c r="J5" t="n">
        <v>7.23</v>
      </c>
      <c r="K5" t="n">
        <v>8.51</v>
      </c>
      <c r="L5" t="n">
        <v>8.029999999999999</v>
      </c>
      <c r="M5" t="n">
        <v>10.58</v>
      </c>
      <c r="N5" t="inlineStr">
        <is>
          <t>687.4 (проверка)</t>
        </is>
      </c>
      <c r="O5" t="inlineStr">
        <is>
          <t>361.3 (проверка)</t>
        </is>
      </c>
    </row>
    <row r="6">
      <c r="A6" t="inlineStr">
        <is>
          <t>единая, без дрейфа</t>
        </is>
      </c>
      <c r="B6" t="n">
        <v>7</v>
      </c>
      <c r="C6" t="n">
        <v>60</v>
      </c>
      <c r="D6" t="n">
        <v>92.06999999999999</v>
      </c>
      <c r="E6" t="n">
        <v>1.737</v>
      </c>
      <c r="F6" t="n">
        <v>106.07</v>
      </c>
      <c r="G6" t="n">
        <v>4.05</v>
      </c>
      <c r="H6" t="n">
        <v>21.32</v>
      </c>
      <c r="I6" t="n">
        <v>6.68</v>
      </c>
      <c r="J6" t="n">
        <v>14.66</v>
      </c>
      <c r="K6" t="n">
        <v>13.68</v>
      </c>
      <c r="L6" t="n">
        <v>20.91</v>
      </c>
      <c r="M6" t="n">
        <v>10.77</v>
      </c>
      <c r="N6" t="inlineStr">
        <is>
          <t>540.0 (проверка)</t>
        </is>
      </c>
      <c r="O6" t="inlineStr">
        <is>
          <t>417.0 (проверка)</t>
        </is>
      </c>
    </row>
    <row r="7">
      <c r="A7" t="inlineStr">
        <is>
          <t>единая, дрейф только в щели</t>
        </is>
      </c>
      <c r="B7" t="n">
        <v>8</v>
      </c>
      <c r="C7" t="n">
        <v>60</v>
      </c>
      <c r="D7" t="n">
        <v>81.95</v>
      </c>
      <c r="E7" t="n">
        <v>1.576</v>
      </c>
      <c r="F7" t="n">
        <v>97.95</v>
      </c>
      <c r="G7" t="n">
        <v>4.98</v>
      </c>
      <c r="H7" t="n">
        <v>20.33</v>
      </c>
      <c r="I7" t="n">
        <v>6.18</v>
      </c>
      <c r="J7" t="n">
        <v>14.99</v>
      </c>
      <c r="K7" t="n">
        <v>12.15</v>
      </c>
      <c r="L7" t="n">
        <v>12.66</v>
      </c>
      <c r="M7" t="n">
        <v>10.65</v>
      </c>
      <c r="N7" t="inlineStr">
        <is>
          <t>527.8 (проверка)</t>
        </is>
      </c>
      <c r="O7" t="inlineStr">
        <is>
          <t>423.1 (проверка)</t>
        </is>
      </c>
    </row>
    <row r="8">
      <c r="A8" t="inlineStr">
        <is>
          <t>единая, a и захват из литературы</t>
        </is>
      </c>
      <c r="B8" t="n">
        <v>6</v>
      </c>
      <c r="C8" t="n">
        <v>60</v>
      </c>
      <c r="D8" t="n">
        <v>329.11</v>
      </c>
      <c r="E8" t="n">
        <v>6.095</v>
      </c>
      <c r="F8" t="n">
        <v>341.11</v>
      </c>
      <c r="G8" t="n">
        <v>59.31</v>
      </c>
      <c r="H8" t="n">
        <v>113.77</v>
      </c>
      <c r="I8" t="n">
        <v>71.73</v>
      </c>
      <c r="J8" t="n">
        <v>28.95</v>
      </c>
      <c r="K8" t="n">
        <v>22.09</v>
      </c>
      <c r="L8" t="n">
        <v>22.52</v>
      </c>
      <c r="M8" t="n">
        <v>10.73</v>
      </c>
      <c r="N8" t="inlineStr">
        <is>
          <t>1408.2 (проверка)</t>
        </is>
      </c>
      <c r="O8" t="inlineStr">
        <is>
          <t>318.3 (проверка)</t>
        </is>
      </c>
    </row>
    <row r="9">
      <c r="A9" t="inlineStr">
        <is>
          <t>единая, D_cleft = 330 (измеренный)</t>
        </is>
      </c>
      <c r="B9" t="n">
        <v>7</v>
      </c>
      <c r="C9" t="n">
        <v>60</v>
      </c>
      <c r="D9" t="n">
        <v>199.98</v>
      </c>
      <c r="E9" t="n">
        <v>3.773</v>
      </c>
      <c r="F9" t="n">
        <v>213.98</v>
      </c>
      <c r="G9" t="n">
        <v>13.24</v>
      </c>
      <c r="H9" t="n">
        <v>13.51</v>
      </c>
      <c r="I9" t="n">
        <v>10.47</v>
      </c>
      <c r="J9" t="n">
        <v>7.43</v>
      </c>
      <c r="K9" t="n">
        <v>11.31</v>
      </c>
      <c r="L9" t="n">
        <v>133.21</v>
      </c>
      <c r="M9" t="n">
        <v>10.82</v>
      </c>
      <c r="N9" t="inlineStr">
        <is>
          <t>877.9 (проверка)</t>
        </is>
      </c>
      <c r="O9" t="inlineStr">
        <is>
          <t>322.0 (проверка)</t>
        </is>
      </c>
    </row>
    <row r="10">
      <c r="A10" t="inlineStr">
        <is>
          <t>единая, AMPA включён в подгонку</t>
        </is>
      </c>
      <c r="B10" t="n">
        <v>8</v>
      </c>
      <c r="C10" t="n">
        <v>85</v>
      </c>
      <c r="D10" t="n">
        <v>1021.5</v>
      </c>
      <c r="E10" t="n">
        <v>13.266</v>
      </c>
      <c r="F10" t="n">
        <v>1037.5</v>
      </c>
      <c r="G10" t="n">
        <v>5.12</v>
      </c>
      <c r="H10" t="n">
        <v>11.12</v>
      </c>
      <c r="I10" t="n">
        <v>5.56</v>
      </c>
      <c r="J10" t="n">
        <v>6.7</v>
      </c>
      <c r="K10" t="n">
        <v>11.59</v>
      </c>
      <c r="L10" t="n">
        <v>7.12</v>
      </c>
      <c r="M10" t="n">
        <v>10.56</v>
      </c>
      <c r="N10" t="n">
        <v>552.6799999999999</v>
      </c>
      <c r="O10" t="n">
        <v>411.05</v>
      </c>
    </row>
    <row r="11">
      <c r="A11" t="inlineStr">
        <is>
          <t>геометрия Barbour, с дрейфом</t>
        </is>
      </c>
      <c r="B11" t="n">
        <v>8</v>
      </c>
      <c r="C11" t="n">
        <v>60</v>
      </c>
      <c r="D11" t="n">
        <v>54.41</v>
      </c>
      <c r="E11" t="n">
        <v>1.046</v>
      </c>
      <c r="F11" t="n">
        <v>70.41</v>
      </c>
      <c r="G11" t="n">
        <v>6.68</v>
      </c>
      <c r="H11" t="n">
        <v>8.470000000000001</v>
      </c>
      <c r="I11" t="n">
        <v>5.44</v>
      </c>
      <c r="J11" t="n">
        <v>7.22</v>
      </c>
      <c r="K11" t="n">
        <v>8.51</v>
      </c>
      <c r="L11" t="n">
        <v>7.49</v>
      </c>
      <c r="M11" t="n">
        <v>10.59</v>
      </c>
      <c r="N11" t="inlineStr">
        <is>
          <t>687.2 (проверка)</t>
        </is>
      </c>
      <c r="O11" t="inlineStr">
        <is>
          <t>361.4 (проверка)</t>
        </is>
      </c>
    </row>
    <row r="12">
      <c r="A12" t="inlineStr">
        <is>
          <t>геометрия Barbour, Ω = 0</t>
        </is>
      </c>
      <c r="B12" t="n">
        <v>7</v>
      </c>
      <c r="C12" t="n">
        <v>60</v>
      </c>
      <c r="D12" t="n">
        <v>85.06</v>
      </c>
      <c r="E12" t="n">
        <v>1.605</v>
      </c>
      <c r="F12" t="n">
        <v>99.06</v>
      </c>
      <c r="G12" t="n">
        <v>4.91</v>
      </c>
      <c r="H12" t="n">
        <v>22.35</v>
      </c>
      <c r="I12" t="n">
        <v>6.95</v>
      </c>
      <c r="J12" t="n">
        <v>13.43</v>
      </c>
      <c r="K12" t="n">
        <v>11.12</v>
      </c>
      <c r="L12" t="n">
        <v>15.57</v>
      </c>
      <c r="M12" t="n">
        <v>10.74</v>
      </c>
      <c r="N12" t="inlineStr">
        <is>
          <t>549.8 (проверка)</t>
        </is>
      </c>
      <c r="O12" t="inlineStr">
        <is>
          <t>412.4 (проверка)</t>
        </is>
      </c>
    </row>
    <row r="14">
      <c r="A14" s="4" t="inlineStr">
        <is>
          <t>Параметры</t>
        </is>
      </c>
    </row>
    <row r="15">
      <c r="A15" s="4" t="inlineStr">
        <is>
          <t>параметр</t>
        </is>
      </c>
      <c r="B15" s="4" t="inlineStr">
        <is>
          <t>исходная модель (config.py)</t>
        </is>
      </c>
      <c r="C15" s="4" t="inlineStr">
        <is>
          <t>единая модель (основной результат)</t>
        </is>
      </c>
      <c r="D15" s="4" t="inlineStr">
        <is>
          <t>единая, без дрейфа</t>
        </is>
      </c>
      <c r="E15" s="4" t="inlineStr">
        <is>
          <t>единая, дрейф только в щели</t>
        </is>
      </c>
      <c r="F15" s="4" t="inlineStr">
        <is>
          <t>единая, a и захват из литературы</t>
        </is>
      </c>
      <c r="G15" s="4" t="inlineStr">
        <is>
          <t>единая, D_cleft = 330 (измеренный)</t>
        </is>
      </c>
      <c r="H15" s="4" t="inlineStr">
        <is>
          <t>единая, AMPA включён в подгонку</t>
        </is>
      </c>
      <c r="I15" s="4" t="inlineStr">
        <is>
          <t>геометрия Barbour, с дрейфом</t>
        </is>
      </c>
      <c r="J15" s="4" t="inlineStr">
        <is>
          <t>геометрия Barbour, Ω = 0</t>
        </is>
      </c>
    </row>
    <row r="16">
      <c r="A16" t="inlineStr">
        <is>
          <t>cleft_radius_nm</t>
        </is>
      </c>
      <c r="B16" t="inlineStr">
        <is>
          <t>200</t>
        </is>
      </c>
      <c r="C16" t="inlineStr">
        <is>
          <t>249.7 (fit)</t>
        </is>
      </c>
      <c r="D16" t="inlineStr">
        <is>
          <t>98.38 (fit)</t>
        </is>
      </c>
      <c r="E16" t="inlineStr">
        <is>
          <t>224 (fit)</t>
        </is>
      </c>
      <c r="F16" t="inlineStr">
        <is>
          <t>150</t>
        </is>
      </c>
      <c r="G16" t="inlineStr">
        <is>
          <t>84.22 (fit)</t>
        </is>
      </c>
      <c r="H16" t="inlineStr">
        <is>
          <t>249.7 (fit)</t>
        </is>
      </c>
      <c r="I16" t="inlineStr">
        <is>
          <t>250 (fit)</t>
        </is>
      </c>
      <c r="J16" t="inlineStr">
        <is>
          <t>174.7 (fit)</t>
        </is>
      </c>
    </row>
    <row r="17">
      <c r="A17" t="inlineStr">
        <is>
          <t>D_cleft</t>
        </is>
      </c>
      <c r="B17" t="inlineStr">
        <is>
          <t>10</t>
        </is>
      </c>
      <c r="C17" t="inlineStr">
        <is>
          <t>16.72 (fit)</t>
        </is>
      </c>
      <c r="D17" t="inlineStr">
        <is>
          <t>5.473 (fit)</t>
        </is>
      </c>
      <c r="E17" t="inlineStr">
        <is>
          <t>36.74 (fit)</t>
        </is>
      </c>
      <c r="F17" t="inlineStr">
        <is>
          <t>12.9 (fit)</t>
        </is>
      </c>
      <c r="G17" t="inlineStr">
        <is>
          <t>330</t>
        </is>
      </c>
      <c r="H17" t="inlineStr">
        <is>
          <t>15.43 (fit)</t>
        </is>
      </c>
      <c r="I17" t="inlineStr">
        <is>
          <t>18.67 (fit)</t>
        </is>
      </c>
      <c r="J17" t="inlineStr">
        <is>
          <t>13.23 (fit)</t>
        </is>
      </c>
    </row>
    <row r="18">
      <c r="A18" t="inlineStr">
        <is>
          <t>D_pm</t>
        </is>
      </c>
      <c r="B18" t="inlineStr">
        <is>
          <t>0.5</t>
        </is>
      </c>
      <c r="C18" t="inlineStr">
        <is>
          <t>320</t>
        </is>
      </c>
      <c r="D18" t="inlineStr">
        <is>
          <t>320</t>
        </is>
      </c>
      <c r="E18" t="inlineStr">
        <is>
          <t>320</t>
        </is>
      </c>
      <c r="F18" t="inlineStr">
        <is>
          <t>320</t>
        </is>
      </c>
      <c r="G18" t="inlineStr">
        <is>
          <t>320</t>
        </is>
      </c>
      <c r="H18" t="inlineStr">
        <is>
          <t>320</t>
        </is>
      </c>
      <c r="I18" t="inlineStr">
        <is>
          <t>320</t>
        </is>
      </c>
      <c r="J18" t="inlineStr">
        <is>
          <t>320</t>
        </is>
      </c>
    </row>
    <row r="19">
      <c r="A19" t="inlineStr">
        <is>
          <t>omega_scale</t>
        </is>
      </c>
      <c r="B19" t="inlineStr">
        <is>
          <t>1</t>
        </is>
      </c>
      <c r="C19" t="inlineStr">
        <is>
          <t>-1.675 (fit)</t>
        </is>
      </c>
      <c r="D19" t="inlineStr">
        <is>
          <t>0</t>
        </is>
      </c>
      <c r="E19" t="inlineStr">
        <is>
          <t>-7.997 (fit)</t>
        </is>
      </c>
      <c r="F19" t="inlineStr">
        <is>
          <t>-1.253 (fit)</t>
        </is>
      </c>
      <c r="G19" t="inlineStr">
        <is>
          <t>-2.266 (fit)</t>
        </is>
      </c>
      <c r="H19" t="inlineStr">
        <is>
          <t>-1.669 (fit)</t>
        </is>
      </c>
      <c r="I19" t="inlineStr">
        <is>
          <t>-1.661 (fit)</t>
        </is>
      </c>
      <c r="J19" t="inlineStr">
        <is>
          <t>0</t>
        </is>
      </c>
    </row>
    <row r="20">
      <c r="A20" t="inlineStr">
        <is>
          <t>omega_pm_ratio</t>
        </is>
      </c>
      <c r="B20" t="inlineStr">
        <is>
          <t>3</t>
        </is>
      </c>
      <c r="C20" t="inlineStr">
        <is>
          <t>3</t>
        </is>
      </c>
      <c r="D20" t="inlineStr">
        <is>
          <t>3</t>
        </is>
      </c>
      <c r="E20" t="inlineStr">
        <is>
          <t>0</t>
        </is>
      </c>
      <c r="F20" t="inlineStr">
        <is>
          <t>3</t>
        </is>
      </c>
      <c r="G20" t="inlineStr">
        <is>
          <t>3</t>
        </is>
      </c>
      <c r="H20" t="inlineStr">
        <is>
          <t>3</t>
        </is>
      </c>
      <c r="I20" t="inlineStr">
        <is>
          <t>3</t>
        </is>
      </c>
      <c r="J20" t="inlineStr">
        <is>
          <t>3</t>
        </is>
      </c>
    </row>
    <row r="21">
      <c r="A21" t="inlineStr">
        <is>
          <t>Vmax_pm</t>
        </is>
      </c>
      <c r="B21" t="inlineStr">
        <is>
          <t>0</t>
        </is>
      </c>
      <c r="C21" t="inlineStr">
        <is>
          <t>3.645e-05 (fit)</t>
        </is>
      </c>
      <c r="D21" t="inlineStr">
        <is>
          <t>0.0001811 (fit)</t>
        </is>
      </c>
      <c r="E21" t="inlineStr">
        <is>
          <t>1.148e-05 (fit)</t>
        </is>
      </c>
      <c r="F21" t="inlineStr">
        <is>
          <t>0.0036</t>
        </is>
      </c>
      <c r="G21" t="inlineStr">
        <is>
          <t>0.0001127 (fit)</t>
        </is>
      </c>
      <c r="H21" t="inlineStr">
        <is>
          <t>6.044e-05 (fit)</t>
        </is>
      </c>
      <c r="I21" t="inlineStr">
        <is>
          <t>3.646e-05 (fit)</t>
        </is>
      </c>
      <c r="J21" t="inlineStr">
        <is>
          <t>1.046e-05 (fit)</t>
        </is>
      </c>
    </row>
    <row r="22">
      <c r="A22" t="inlineStr">
        <is>
          <t>Km</t>
        </is>
      </c>
      <c r="B22" t="inlineStr">
        <is>
          <t>20</t>
        </is>
      </c>
      <c r="C22" t="inlineStr">
        <is>
          <t>20</t>
        </is>
      </c>
      <c r="D22" t="inlineStr">
        <is>
          <t>20</t>
        </is>
      </c>
      <c r="E22" t="inlineStr">
        <is>
          <t>20</t>
        </is>
      </c>
      <c r="F22" t="inlineStr">
        <is>
          <t>20</t>
        </is>
      </c>
      <c r="G22" t="inlineStr">
        <is>
          <t>20</t>
        </is>
      </c>
      <c r="H22" t="inlineStr">
        <is>
          <t>20</t>
        </is>
      </c>
      <c r="I22" t="inlineStr">
        <is>
          <t>20</t>
        </is>
      </c>
      <c r="J22" t="inlineStr">
        <is>
          <t>20</t>
        </is>
      </c>
    </row>
    <row r="23">
      <c r="A23" t="inlineStr">
        <is>
          <t>molecules</t>
        </is>
      </c>
      <c r="B23" t="inlineStr">
        <is>
          <t>3000</t>
        </is>
      </c>
      <c r="C23" t="inlineStr">
        <is>
          <t>3028 (fit)</t>
        </is>
      </c>
      <c r="D23" t="inlineStr">
        <is>
          <t>4785 (fit)</t>
        </is>
      </c>
      <c r="E23" t="inlineStr">
        <is>
          <t>7200 (fit)</t>
        </is>
      </c>
      <c r="F23" t="inlineStr">
        <is>
          <t>5664 (fit)</t>
        </is>
      </c>
      <c r="G23" t="inlineStr">
        <is>
          <t>1e+04 (fit)</t>
        </is>
      </c>
      <c r="H23" t="inlineStr">
        <is>
          <t>2277 (fit)</t>
        </is>
      </c>
      <c r="I23" t="inlineStr">
        <is>
          <t>3011 (fit)</t>
        </is>
      </c>
      <c r="J23" t="inlineStr">
        <is>
          <t>6143 (fit)</t>
        </is>
      </c>
    </row>
    <row r="24">
      <c r="A24" t="inlineStr">
        <is>
          <t>psf_xy_um</t>
        </is>
      </c>
      <c r="B24" t="inlineStr">
        <is>
          <t>0.4</t>
        </is>
      </c>
      <c r="C24" t="inlineStr">
        <is>
          <t>0.6985 (fit)</t>
        </is>
      </c>
      <c r="D24" t="inlineStr">
        <is>
          <t>0.6919 (fit)</t>
        </is>
      </c>
      <c r="E24" t="inlineStr">
        <is>
          <t>0.6995 (fit)</t>
        </is>
      </c>
      <c r="F24" t="inlineStr">
        <is>
          <t>0.6999 (fit)</t>
        </is>
      </c>
      <c r="G24" t="inlineStr">
        <is>
          <t>0.3161 (fit)</t>
        </is>
      </c>
      <c r="H24" t="inlineStr">
        <is>
          <t>0.6994 (fit)</t>
        </is>
      </c>
      <c r="I24" t="inlineStr">
        <is>
          <t>0.7 (fit)</t>
        </is>
      </c>
      <c r="J24" t="inlineStr">
        <is>
          <t>0.6993 (fit)</t>
        </is>
      </c>
    </row>
    <row r="25">
      <c r="A25" t="inlineStr">
        <is>
          <t>psf_z_um</t>
        </is>
      </c>
      <c r="B25" t="inlineStr">
        <is>
          <t>2</t>
        </is>
      </c>
      <c r="C25" t="inlineStr">
        <is>
          <t>1.291 (fit)</t>
        </is>
      </c>
      <c r="D25" t="inlineStr">
        <is>
          <t>3.305 (fit)</t>
        </is>
      </c>
      <c r="E25" t="inlineStr">
        <is>
          <t>2.588 (fit)</t>
        </is>
      </c>
      <c r="F25" t="inlineStr">
        <is>
          <t>3.281 (fit)</t>
        </is>
      </c>
      <c r="G25" t="inlineStr">
        <is>
          <t>1.089 (fit)</t>
        </is>
      </c>
      <c r="H25" t="inlineStr">
        <is>
          <t>1.73 (fit)</t>
        </is>
      </c>
      <c r="I25" t="inlineStr">
        <is>
          <t>1.285 (fit)</t>
        </is>
      </c>
      <c r="J25" t="inlineStr">
        <is>
          <t>2.378 (fit)</t>
        </is>
      </c>
    </row>
    <row r="26">
      <c r="A26" t="inlineStr">
        <is>
          <t>uncaging_molecules</t>
        </is>
      </c>
      <c r="B26" t="inlineStr">
        <is>
          <t>3.6e+04</t>
        </is>
      </c>
      <c r="C26" t="inlineStr">
        <is>
          <t>1.805e+05 (fit)</t>
        </is>
      </c>
      <c r="D26" t="inlineStr">
        <is>
          <t>1.562e+05 (fit)</t>
        </is>
      </c>
      <c r="E26" t="inlineStr">
        <is>
          <t>1.541e+05 (fit)</t>
        </is>
      </c>
      <c r="F26" t="inlineStr">
        <is>
          <t>2.847e+05 (fit)</t>
        </is>
      </c>
      <c r="G26" t="inlineStr">
        <is>
          <t>2.092e+05 (fit)</t>
        </is>
      </c>
      <c r="H26" t="inlineStr">
        <is>
          <t>1.584e+05 (fit)</t>
        </is>
      </c>
      <c r="I26" t="inlineStr">
        <is>
          <t>1.805e+05 (fit)</t>
        </is>
      </c>
      <c r="J26" t="inlineStr">
        <is>
          <t>1.579e+05 (fit)</t>
        </is>
      </c>
    </row>
    <row r="27">
      <c r="A27" t="inlineStr">
        <is>
          <t>alpha</t>
        </is>
      </c>
      <c r="B27" t="inlineStr">
        <is>
          <t>0.2</t>
        </is>
      </c>
      <c r="C27" t="inlineStr">
        <is>
          <t>0.2</t>
        </is>
      </c>
      <c r="D27" t="inlineStr">
        <is>
          <t>0.2</t>
        </is>
      </c>
      <c r="E27" t="inlineStr">
        <is>
          <t>0.2</t>
        </is>
      </c>
      <c r="F27" t="inlineStr">
        <is>
          <t>0.2</t>
        </is>
      </c>
      <c r="G27" t="inlineStr">
        <is>
          <t>0.2</t>
        </is>
      </c>
      <c r="H27" t="inlineStr">
        <is>
          <t>0.2</t>
        </is>
      </c>
      <c r="I27" t="inlineStr">
        <is>
          <t>0.2</t>
        </is>
      </c>
      <c r="J27" t="inlineStr">
        <is>
          <t>0.2</t>
        </is>
      </c>
    </row>
    <row r="28">
      <c r="A28" t="inlineStr">
        <is>
          <t>cleft_height_nm</t>
        </is>
      </c>
      <c r="B28" t="inlineStr">
        <is>
          <t>20</t>
        </is>
      </c>
      <c r="C28" t="inlineStr">
        <is>
          <t>20</t>
        </is>
      </c>
      <c r="D28" t="inlineStr">
        <is>
          <t>20</t>
        </is>
      </c>
      <c r="E28" t="inlineStr">
        <is>
          <t>20</t>
        </is>
      </c>
      <c r="F28" t="inlineStr">
        <is>
          <t>20</t>
        </is>
      </c>
      <c r="G28" t="inlineStr">
        <is>
          <t>20</t>
        </is>
      </c>
      <c r="H28" t="inlineStr">
        <is>
          <t>20</t>
        </is>
      </c>
      <c r="I28" t="inlineStr">
        <is>
          <t>20</t>
        </is>
      </c>
      <c r="J28" t="inlineStr">
        <is>
          <t>20</t>
        </is>
      </c>
    </row>
    <row r="29">
      <c r="A29" t="inlineStr">
        <is>
          <t>transition_width_nm</t>
        </is>
      </c>
      <c r="B29" t="inlineStr">
        <is>
          <t>200</t>
        </is>
      </c>
      <c r="C29" t="inlineStr">
        <is>
          <t>200</t>
        </is>
      </c>
      <c r="D29" t="inlineStr">
        <is>
          <t>200</t>
        </is>
      </c>
      <c r="E29" t="inlineStr">
        <is>
          <t>200</t>
        </is>
      </c>
      <c r="F29" t="inlineStr">
        <is>
          <t>200</t>
        </is>
      </c>
      <c r="G29" t="inlineStr">
        <is>
          <t>200</t>
        </is>
      </c>
      <c r="H29" t="inlineStr">
        <is>
          <t>200</t>
        </is>
      </c>
      <c r="I29" t="inlineStr">
        <is>
          <t>200</t>
        </is>
      </c>
      <c r="J29" t="inlineStr">
        <is>
          <t>200</t>
        </is>
      </c>
    </row>
    <row r="31">
      <c r="A31" s="4" t="inlineStr">
        <is>
          <t>Проверки без подгонки</t>
        </is>
      </c>
    </row>
    <row r="32">
      <c r="A32" t="inlineStr">
        <is>
          <t>исходная модель (config.py)</t>
        </is>
      </c>
      <c r="B32" t="inlineStr">
        <is>
          <t>время захвата, мс: None (Diamond 2005: 0,75 ± 0,15 при 35 °C)</t>
        </is>
      </c>
      <c r="H32" t="inlineStr">
        <is>
          <t>щель, мМ при 0,5/1/2/4 мс: 0.0384 / 0.0237 / 0.009 / 0.00129 (Clements Fig. 3C: ~0,7 / 0,5 / 0,22 при 0,6/1/2,4 мс)</t>
        </is>
      </c>
    </row>
    <row r="33">
      <c r="A33" t="inlineStr">
        <is>
          <t>единая модель (основной результат)</t>
        </is>
      </c>
      <c r="B33" t="inlineStr">
        <is>
          <t>время захвата, мс: inf (Diamond 2005: 0,75 ± 0,15 при 35 °C)</t>
        </is>
      </c>
      <c r="H33" t="inlineStr">
        <is>
          <t>щель, мМ при 0,5/1/2/4 мс: 1.05 / 0.675 / 0.275 / 0.0481 (Clements Fig. 3C: ~0,7 / 0,5 / 0,22 при 0,6/1/2,4 мс)</t>
        </is>
      </c>
    </row>
    <row r="34">
      <c r="A34" t="inlineStr">
        <is>
          <t>единая, без дрейфа</t>
        </is>
      </c>
      <c r="B34" t="inlineStr">
        <is>
          <t>время захвата, мс: inf (Diamond 2005: 0,75 ± 0,15 при 35 °C)</t>
        </is>
      </c>
      <c r="H34" t="inlineStr">
        <is>
          <t>щель, мМ при 0,5/1/2/4 мс: 5.37 / 1.77 / 0.198 / 0.00357 (Clements Fig. 3C: ~0,7 / 0,5 / 0,22 при 0,6/1/2,4 мс)</t>
        </is>
      </c>
    </row>
    <row r="35">
      <c r="A35" t="inlineStr">
        <is>
          <t>единая, дрейф только в щели</t>
        </is>
      </c>
      <c r="B35" t="inlineStr">
        <is>
          <t>время захвата, мс: inf (Diamond 2005: 0,75 ± 0,15 при 35 °C)</t>
        </is>
      </c>
      <c r="H35" t="inlineStr">
        <is>
          <t>щель, мМ при 0,5/1/2/4 мс: 2.16 / 1.08 / 0.291 / 0.0287 (Clements Fig. 3C: ~0,7 / 0,5 / 0,22 при 0,6/1/2,4 мс)</t>
        </is>
      </c>
    </row>
    <row r="36">
      <c r="A36" t="inlineStr">
        <is>
          <t>единая, a и захват из литературы</t>
        </is>
      </c>
      <c r="B36" t="inlineStr">
        <is>
          <t>время захвата, мс: 6.42 (Diamond 2005: 0,75 ± 0,15 при 35 °C)</t>
        </is>
      </c>
      <c r="H36" t="inlineStr">
        <is>
          <t>щель, мМ при 0,5/1/2/4 мс: 3.17 / 1.19 / 0.176 / 0.00707 (Clements Fig. 3C: ~0,7 / 0,5 / 0,22 при 0,6/1/2,4 мс)</t>
        </is>
      </c>
    </row>
    <row r="37">
      <c r="A37" t="inlineStr">
        <is>
          <t>единая, D_cleft = 330 (измеренный)</t>
        </is>
      </c>
      <c r="B37" t="inlineStr">
        <is>
          <t>время захвата, мс: inf (Diamond 2005: 0,75 ± 0,15 при 35 °C)</t>
        </is>
      </c>
      <c r="H37" t="inlineStr">
        <is>
          <t>щель, мМ при 0,5/1/2/4 мс: 0.0509 / 0.0239 / 0.0123 / 0.00715 (Clements Fig. 3C: ~0,7 / 0,5 / 0,22 при 0,6/1/2,4 мс)</t>
        </is>
      </c>
    </row>
    <row r="38">
      <c r="A38" t="inlineStr">
        <is>
          <t>единая, AMPA включён в подгонку</t>
        </is>
      </c>
      <c r="B38" t="inlineStr">
        <is>
          <t>время захвата, мс: inf (Diamond 2005: 0,75 ± 0,15 при 35 °C)</t>
        </is>
      </c>
      <c r="H38" t="inlineStr">
        <is>
          <t>щель, мМ при 0,5/1/2/4 мс: 0.815 / 0.555 / 0.248 / 0.0515 (Clements Fig. 3C: ~0,7 / 0,5 / 0,22 при 0,6/1/2,4 мс)</t>
        </is>
      </c>
    </row>
    <row r="39">
      <c r="A39" t="inlineStr">
        <is>
          <t>геометрия Barbour, с дрейфом</t>
        </is>
      </c>
      <c r="B39" t="inlineStr">
        <is>
          <t>время захвата, мс: inf (Diamond 2005: 0,75 ± 0,15 при 35 °C)</t>
        </is>
      </c>
      <c r="H39" t="inlineStr">
        <is>
          <t>щель, мМ при 0,5/1/2/4 мс: 1.05 / 0.688 / 0.285 / 0.0513 (Clements Fig. 3C: ~0,7 / 0,5 / 0,22 при 0,6/1/2,4 мс)</t>
        </is>
      </c>
    </row>
    <row r="40">
      <c r="A40" t="inlineStr">
        <is>
          <t>геометрия Barbour, Ω = 0</t>
        </is>
      </c>
      <c r="B40" t="inlineStr">
        <is>
          <t>время захвата, мс: inf (Diamond 2005: 0,75 ± 0,15 при 35 °C)</t>
        </is>
      </c>
      <c r="H40" t="inlineStr">
        <is>
          <t>щель, мМ при 0,5/1/2/4 мс: 3.22 / 1.4 / 0.262 / 0.0106 (Clements Fig. 3C: ~0,7 / 0,5 / 0,22 при 0,6/1/2,4 мс)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2026-10-13T15:41:28Z</dcterms:created>
  <dcterms:modified xmlns:dcterms="http://purl.org/dc/terms/" xmlns:xsi="http://www.w3.org/2001/XMLSchema-instance" xsi:type="dcterms:W3CDTF">2026-10-13T15:41:28Z</dcterms:modified>
</cp:coreProperties>
</file>